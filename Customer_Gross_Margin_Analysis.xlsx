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OneDrive\Desktop\Humber\Data analytics\Sem1\Business Concepts - BIA-5003-0LE\Assignments\"/>
    </mc:Choice>
  </mc:AlternateContent>
  <xr:revisionPtr revIDLastSave="0" documentId="13_ncr:1_{6E318F74-88C3-45AD-AC04-D959525BBF6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Gross_Margin_Chart_Analysis" sheetId="2" r:id="rId1"/>
    <sheet name="Raw_Sales_Data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2" i="1"/>
</calcChain>
</file>

<file path=xl/sharedStrings.xml><?xml version="1.0" encoding="utf-8"?>
<sst xmlns="http://schemas.openxmlformats.org/spreadsheetml/2006/main" count="592" uniqueCount="219">
  <si>
    <t>FRT-APL</t>
  </si>
  <si>
    <t>FRT-APO</t>
  </si>
  <si>
    <t>FRT-AVD</t>
  </si>
  <si>
    <t>FRT-BAN</t>
  </si>
  <si>
    <t>FRT-BIT</t>
  </si>
  <si>
    <t>FRT-BLR</t>
  </si>
  <si>
    <t>FRT-BLN</t>
  </si>
  <si>
    <t>FRT-BOR</t>
  </si>
  <si>
    <t>FRT-CUN</t>
  </si>
  <si>
    <t>FRT-CHR</t>
  </si>
  <si>
    <t>FRT-CHY</t>
  </si>
  <si>
    <t>FRT-CHI</t>
  </si>
  <si>
    <t>FRT-CLR</t>
  </si>
  <si>
    <t>FRT-COU</t>
  </si>
  <si>
    <t>FRT-CRR</t>
  </si>
  <si>
    <t>FRT-CUE</t>
  </si>
  <si>
    <t>FRT-SUL</t>
  </si>
  <si>
    <t>FRT-DAO</t>
  </si>
  <si>
    <t>FRT-DAT</t>
  </si>
  <si>
    <t>FRT-DRI</t>
  </si>
  <si>
    <t>FRT-DUA</t>
  </si>
  <si>
    <t>FRT-ELR</t>
  </si>
  <si>
    <t>FRT-FEO</t>
  </si>
  <si>
    <t>FRT-FII</t>
  </si>
  <si>
    <t>FRT-GOR</t>
  </si>
  <si>
    <t>FRT-GRI</t>
  </si>
  <si>
    <t>FRT-GUV</t>
  </si>
  <si>
    <t>FRT-HOR</t>
  </si>
  <si>
    <t>FRT-HUR</t>
  </si>
  <si>
    <t>FRT-JAB</t>
  </si>
  <si>
    <t>FRT-JAI</t>
  </si>
  <si>
    <t>FRT-JAU</t>
  </si>
  <si>
    <t>FRT-JUB</t>
  </si>
  <si>
    <t>FRT-JUR</t>
  </si>
  <si>
    <t>FRT-KII</t>
  </si>
  <si>
    <t>FRT-KUA</t>
  </si>
  <si>
    <t>FRT-LEO</t>
  </si>
  <si>
    <t>FRT-LIM</t>
  </si>
  <si>
    <t>FRT-LOA</t>
  </si>
  <si>
    <t>FRT-LYE</t>
  </si>
  <si>
    <t>FRT-MAG</t>
  </si>
  <si>
    <t>FRT-MAR</t>
  </si>
  <si>
    <t>FRT-MEO</t>
  </si>
  <si>
    <t>FRT-MII</t>
  </si>
  <si>
    <t>FRT-MUR</t>
  </si>
  <si>
    <t>FRT-NEN</t>
  </si>
  <si>
    <t>FRT-NAC</t>
  </si>
  <si>
    <t>FRT-OLV</t>
  </si>
  <si>
    <t>FRT-ORG</t>
  </si>
  <si>
    <t>FRT-PAY</t>
  </si>
  <si>
    <t>FRT-PAI</t>
  </si>
  <si>
    <t>FRT-PEC</t>
  </si>
  <si>
    <t>FRT-PEA</t>
  </si>
  <si>
    <t>FRT-PEO</t>
  </si>
  <si>
    <t>FRT-PHI</t>
  </si>
  <si>
    <t>FRT-PLI</t>
  </si>
  <si>
    <t>FRT-PLM</t>
  </si>
  <si>
    <t>FRT-PIL</t>
  </si>
  <si>
    <t>FRT-PLT</t>
  </si>
  <si>
    <t>FRT-POT</t>
  </si>
  <si>
    <t>FRT-POL</t>
  </si>
  <si>
    <t>FRT-PUE</t>
  </si>
  <si>
    <t>FRT-QUC</t>
  </si>
  <si>
    <t>FRT-RAR</t>
  </si>
  <si>
    <t>FRT-RAA</t>
  </si>
  <si>
    <t>FRT-REN</t>
  </si>
  <si>
    <t>FRT-SAR</t>
  </si>
  <si>
    <t>FRT-SAA</t>
  </si>
  <si>
    <t>FRT-SAM</t>
  </si>
  <si>
    <t>FRT-SOO</t>
  </si>
  <si>
    <t>FRT-STI</t>
  </si>
  <si>
    <t>FRT-SOS</t>
  </si>
  <si>
    <t>FRT-STR</t>
  </si>
  <si>
    <t>FRT-TAL</t>
  </si>
  <si>
    <t>FRT-TAN</t>
  </si>
  <si>
    <t>FRT-UGI</t>
  </si>
  <si>
    <t>FRT-YUZ</t>
  </si>
  <si>
    <t>SKU</t>
  </si>
  <si>
    <t>Cost</t>
  </si>
  <si>
    <t>Quantity (Pounds)</t>
  </si>
  <si>
    <t>Date of Sale</t>
  </si>
  <si>
    <t>Sales</t>
  </si>
  <si>
    <t>Zip Code</t>
  </si>
  <si>
    <t>Invoice #</t>
  </si>
  <si>
    <t>Customer #</t>
  </si>
  <si>
    <t>67510 </t>
  </si>
  <si>
    <t>67621 </t>
  </si>
  <si>
    <t>67511 </t>
  </si>
  <si>
    <t>66401 </t>
  </si>
  <si>
    <t>66710 </t>
  </si>
  <si>
    <t>67004 </t>
  </si>
  <si>
    <t>67831 </t>
  </si>
  <si>
    <t>67416 </t>
  </si>
  <si>
    <t>66402 </t>
  </si>
  <si>
    <t>67010 </t>
  </si>
  <si>
    <t>66404 </t>
  </si>
  <si>
    <t>67418 </t>
  </si>
  <si>
    <t>67332 </t>
  </si>
  <si>
    <t>66749 </t>
  </si>
  <si>
    <t>66713 </t>
  </si>
  <si>
    <t>67516 </t>
  </si>
  <si>
    <t>66406 </t>
  </si>
  <si>
    <t>67012 </t>
  </si>
  <si>
    <t>67518 </t>
  </si>
  <si>
    <t>67422 </t>
  </si>
  <si>
    <t>66408 </t>
  </si>
  <si>
    <t>67423 </t>
  </si>
  <si>
    <t>67731 </t>
  </si>
  <si>
    <t>67018 </t>
  </si>
  <si>
    <t>66226 </t>
  </si>
  <si>
    <t>67732 </t>
  </si>
  <si>
    <t>67522 </t>
  </si>
  <si>
    <t>67626 </t>
  </si>
  <si>
    <t>66840 </t>
  </si>
  <si>
    <t>66936 </t>
  </si>
  <si>
    <t>67023 </t>
  </si>
  <si>
    <t>67333 </t>
  </si>
  <si>
    <t>66414 </t>
  </si>
  <si>
    <t>66842 </t>
  </si>
  <si>
    <t>66014 </t>
  </si>
  <si>
    <t>67335 </t>
  </si>
  <si>
    <t>67835 </t>
  </si>
  <si>
    <t>66416 </t>
  </si>
  <si>
    <t>67432 </t>
  </si>
  <si>
    <t>67026 </t>
  </si>
  <si>
    <t>66937 </t>
  </si>
  <si>
    <t>67631 </t>
  </si>
  <si>
    <t>66725 </t>
  </si>
  <si>
    <t>67031 </t>
  </si>
  <si>
    <t>67837 </t>
  </si>
  <si>
    <t>66939 </t>
  </si>
  <si>
    <t>66736 </t>
  </si>
  <si>
    <t>67035 </t>
  </si>
  <si>
    <t>67838 </t>
  </si>
  <si>
    <t>67342 </t>
  </si>
  <si>
    <t>67042 </t>
  </si>
  <si>
    <t>67344 </t>
  </si>
  <si>
    <t>Description</t>
  </si>
  <si>
    <t>Apple</t>
  </si>
  <si>
    <t>Goji berry</t>
  </si>
  <si>
    <t>Olive</t>
  </si>
  <si>
    <t>Redcurrant</t>
  </si>
  <si>
    <t>Fig</t>
  </si>
  <si>
    <t>Juniper berry</t>
  </si>
  <si>
    <t>Papaya</t>
  </si>
  <si>
    <t>Banana</t>
  </si>
  <si>
    <t>Persimmon</t>
  </si>
  <si>
    <t>Satsuma</t>
  </si>
  <si>
    <t>Miracle fruit</t>
  </si>
  <si>
    <t>Chico fruit</t>
  </si>
  <si>
    <t>Durian</t>
  </si>
  <si>
    <t>Elderberry</t>
  </si>
  <si>
    <t>Nance</t>
  </si>
  <si>
    <t>Lemon</t>
  </si>
  <si>
    <t>Orange</t>
  </si>
  <si>
    <t>Cherimoya</t>
  </si>
  <si>
    <t>Loquat</t>
  </si>
  <si>
    <t>Jabuticaba</t>
  </si>
  <si>
    <t>Marionberry</t>
  </si>
  <si>
    <t>Coconut</t>
  </si>
  <si>
    <t>Apricot</t>
  </si>
  <si>
    <t>Boysenberry</t>
  </si>
  <si>
    <t>Bilberty</t>
  </si>
  <si>
    <t>Dragonfruit</t>
  </si>
  <si>
    <t>Lychee</t>
  </si>
  <si>
    <t>Purple mangosteen</t>
  </si>
  <si>
    <t>Tamarind</t>
  </si>
  <si>
    <t>GrapeRaisin</t>
  </si>
  <si>
    <t>Plumcot (or Pluot)</t>
  </si>
  <si>
    <t>Salal berry</t>
  </si>
  <si>
    <t>Blackberry</t>
  </si>
  <si>
    <t>Cucumber</t>
  </si>
  <si>
    <t>Cranberry</t>
  </si>
  <si>
    <t>Plantain</t>
  </si>
  <si>
    <t>Cherry</t>
  </si>
  <si>
    <t>Sugar apple</t>
  </si>
  <si>
    <t>Ugli fruit</t>
  </si>
  <si>
    <t>Solanum quitoense</t>
  </si>
  <si>
    <t>Blackcurrent</t>
  </si>
  <si>
    <t>Avocado</t>
  </si>
  <si>
    <t>Kumquat</t>
  </si>
  <si>
    <t>Currant</t>
  </si>
  <si>
    <t>Pear</t>
  </si>
  <si>
    <t>Raspberry</t>
  </si>
  <si>
    <t>Pomegranate</t>
  </si>
  <si>
    <t>Lime</t>
  </si>
  <si>
    <t>Feijoa</t>
  </si>
  <si>
    <t>Soursop</t>
  </si>
  <si>
    <t>Mulberry</t>
  </si>
  <si>
    <t>Peach</t>
  </si>
  <si>
    <t>Rambutan</t>
  </si>
  <si>
    <t>Guava</t>
  </si>
  <si>
    <t>Yuzu</t>
  </si>
  <si>
    <t>PlumPrune (dried plum)</t>
  </si>
  <si>
    <t>Passionfruit</t>
  </si>
  <si>
    <t>Jambul</t>
  </si>
  <si>
    <t>Cloudberry</t>
  </si>
  <si>
    <t>Damson</t>
  </si>
  <si>
    <t>Physalis</t>
  </si>
  <si>
    <t>Pineapple</t>
  </si>
  <si>
    <t>Jujube</t>
  </si>
  <si>
    <t>Jackfruit</t>
  </si>
  <si>
    <t>Pomelo</t>
  </si>
  <si>
    <t>Nectarine</t>
  </si>
  <si>
    <t>Strawberry</t>
  </si>
  <si>
    <t>Huckleberry</t>
  </si>
  <si>
    <t>Kiwifruit</t>
  </si>
  <si>
    <t>Salak</t>
  </si>
  <si>
    <t>Tamarillo</t>
  </si>
  <si>
    <t>Star fruit</t>
  </si>
  <si>
    <t>Mango</t>
  </si>
  <si>
    <t>Melon</t>
  </si>
  <si>
    <t>Quince</t>
  </si>
  <si>
    <t>Honeyberry</t>
  </si>
  <si>
    <t>Date</t>
  </si>
  <si>
    <t>Gross Margin</t>
  </si>
  <si>
    <t>Grand Total</t>
  </si>
  <si>
    <t>Sum of Gross Margin</t>
  </si>
  <si>
    <t>Customer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</si>
</sst>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333333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1" xfId="0" applyBorder="1"/>
    <xf numFmtId="1" fontId="1" fillId="0" borderId="0" xfId="0" applyNumberFormat="1" applyFont="1"/>
    <xf numFmtId="0" fontId="0" fillId="0" borderId="1" xfId="0" applyFill="1" applyBorder="1"/>
    <xf numFmtId="2" fontId="0" fillId="0" borderId="0" xfId="0" applyNumberFormat="1" applyFont="1" applyFill="1" applyBorder="1"/>
    <xf numFmtId="2" fontId="0" fillId="0" borderId="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[Lab_1.2_Data (1).xlsx]Gross_Margin_Chart_Analysis!PivotTable1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Gross_Margin_Chart_Analysis!$B$3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Gross_Margin_Chart_Analysis!$A$4:$A$45</c:f>
              <c:strCache>
                <c:ptCount val="41"/>
                <c:pt idx="0">
                  <c:v>2047</c:v>
                </c:pt>
                <c:pt idx="1">
                  <c:v>2088</c:v>
                </c:pt>
                <c:pt idx="2">
                  <c:v>2072</c:v>
                </c:pt>
                <c:pt idx="3">
                  <c:v>2081</c:v>
                </c:pt>
                <c:pt idx="4">
                  <c:v>2100</c:v>
                </c:pt>
                <c:pt idx="5">
                  <c:v>2060</c:v>
                </c:pt>
                <c:pt idx="6">
                  <c:v>2064</c:v>
                </c:pt>
                <c:pt idx="7">
                  <c:v>2087</c:v>
                </c:pt>
                <c:pt idx="8">
                  <c:v>2046</c:v>
                </c:pt>
                <c:pt idx="9">
                  <c:v>2086</c:v>
                </c:pt>
                <c:pt idx="10">
                  <c:v>2024</c:v>
                </c:pt>
                <c:pt idx="11">
                  <c:v>2063</c:v>
                </c:pt>
                <c:pt idx="12">
                  <c:v>2031</c:v>
                </c:pt>
                <c:pt idx="13">
                  <c:v>2018</c:v>
                </c:pt>
                <c:pt idx="14">
                  <c:v>2051</c:v>
                </c:pt>
                <c:pt idx="15">
                  <c:v>2032</c:v>
                </c:pt>
                <c:pt idx="16">
                  <c:v>2025</c:v>
                </c:pt>
                <c:pt idx="17">
                  <c:v>2079</c:v>
                </c:pt>
                <c:pt idx="18">
                  <c:v>2099</c:v>
                </c:pt>
                <c:pt idx="19">
                  <c:v>2044</c:v>
                </c:pt>
                <c:pt idx="20">
                  <c:v>2041</c:v>
                </c:pt>
                <c:pt idx="21">
                  <c:v>2067</c:v>
                </c:pt>
                <c:pt idx="22">
                  <c:v>2048</c:v>
                </c:pt>
                <c:pt idx="23">
                  <c:v>2074</c:v>
                </c:pt>
                <c:pt idx="24">
                  <c:v>2068</c:v>
                </c:pt>
                <c:pt idx="25">
                  <c:v>2001</c:v>
                </c:pt>
                <c:pt idx="26">
                  <c:v>2066</c:v>
                </c:pt>
                <c:pt idx="27">
                  <c:v>2091</c:v>
                </c:pt>
                <c:pt idx="28">
                  <c:v>2006</c:v>
                </c:pt>
                <c:pt idx="29">
                  <c:v>2077</c:v>
                </c:pt>
                <c:pt idx="30">
                  <c:v>2055</c:v>
                </c:pt>
                <c:pt idx="31">
                  <c:v>2036</c:v>
                </c:pt>
                <c:pt idx="32">
                  <c:v>2084</c:v>
                </c:pt>
                <c:pt idx="33">
                  <c:v>2073</c:v>
                </c:pt>
                <c:pt idx="34">
                  <c:v>2038</c:v>
                </c:pt>
                <c:pt idx="35">
                  <c:v>2035</c:v>
                </c:pt>
                <c:pt idx="36">
                  <c:v>2098</c:v>
                </c:pt>
                <c:pt idx="37">
                  <c:v>2023</c:v>
                </c:pt>
                <c:pt idx="38">
                  <c:v>2070</c:v>
                </c:pt>
                <c:pt idx="39">
                  <c:v>2053</c:v>
                </c:pt>
                <c:pt idx="40">
                  <c:v>2043</c:v>
                </c:pt>
              </c:strCache>
            </c:strRef>
          </c:cat>
          <c:val>
            <c:numRef>
              <c:f>Gross_Margin_Chart_Analysis!$B$4:$B$45</c:f>
              <c:numCache>
                <c:formatCode>0.00</c:formatCode>
                <c:ptCount val="41"/>
                <c:pt idx="0">
                  <c:v>357.7</c:v>
                </c:pt>
                <c:pt idx="1">
                  <c:v>212.22999999999996</c:v>
                </c:pt>
                <c:pt idx="2">
                  <c:v>139.01</c:v>
                </c:pt>
                <c:pt idx="3">
                  <c:v>137.78000000000003</c:v>
                </c:pt>
                <c:pt idx="4">
                  <c:v>135.47</c:v>
                </c:pt>
                <c:pt idx="5">
                  <c:v>118.74000000000001</c:v>
                </c:pt>
                <c:pt idx="6">
                  <c:v>115.33000000000001</c:v>
                </c:pt>
                <c:pt idx="7">
                  <c:v>114.84999999999997</c:v>
                </c:pt>
                <c:pt idx="8">
                  <c:v>114.29</c:v>
                </c:pt>
                <c:pt idx="9">
                  <c:v>107.41</c:v>
                </c:pt>
                <c:pt idx="10">
                  <c:v>104.77999999999997</c:v>
                </c:pt>
                <c:pt idx="11">
                  <c:v>96.449999999999989</c:v>
                </c:pt>
                <c:pt idx="12">
                  <c:v>81.81</c:v>
                </c:pt>
                <c:pt idx="13">
                  <c:v>76.789999999999992</c:v>
                </c:pt>
                <c:pt idx="14">
                  <c:v>69.83</c:v>
                </c:pt>
                <c:pt idx="15">
                  <c:v>66.62</c:v>
                </c:pt>
                <c:pt idx="16">
                  <c:v>64.640000000000015</c:v>
                </c:pt>
                <c:pt idx="17">
                  <c:v>64</c:v>
                </c:pt>
                <c:pt idx="18">
                  <c:v>58.560000000000016</c:v>
                </c:pt>
                <c:pt idx="19">
                  <c:v>56.390000000000008</c:v>
                </c:pt>
                <c:pt idx="20">
                  <c:v>47.219999999999992</c:v>
                </c:pt>
                <c:pt idx="21">
                  <c:v>44.94</c:v>
                </c:pt>
                <c:pt idx="22">
                  <c:v>41.120000000000005</c:v>
                </c:pt>
                <c:pt idx="23">
                  <c:v>38.179999999999993</c:v>
                </c:pt>
                <c:pt idx="24">
                  <c:v>36.620000000000005</c:v>
                </c:pt>
                <c:pt idx="25">
                  <c:v>34.89</c:v>
                </c:pt>
                <c:pt idx="26">
                  <c:v>34.120000000000005</c:v>
                </c:pt>
                <c:pt idx="27">
                  <c:v>30.110000000000007</c:v>
                </c:pt>
                <c:pt idx="28">
                  <c:v>29.77</c:v>
                </c:pt>
                <c:pt idx="29">
                  <c:v>28.409999999999997</c:v>
                </c:pt>
                <c:pt idx="30">
                  <c:v>27.840000000000003</c:v>
                </c:pt>
                <c:pt idx="31">
                  <c:v>27.319999999999993</c:v>
                </c:pt>
                <c:pt idx="32">
                  <c:v>24.459999999999997</c:v>
                </c:pt>
                <c:pt idx="33">
                  <c:v>22.960000000000008</c:v>
                </c:pt>
                <c:pt idx="34">
                  <c:v>17.829999999999998</c:v>
                </c:pt>
                <c:pt idx="35">
                  <c:v>12.309999999999999</c:v>
                </c:pt>
                <c:pt idx="36">
                  <c:v>11.560000000000002</c:v>
                </c:pt>
                <c:pt idx="37">
                  <c:v>8.4099999999999984</c:v>
                </c:pt>
                <c:pt idx="38">
                  <c:v>6.6100000000000012</c:v>
                </c:pt>
                <c:pt idx="39">
                  <c:v>5.7099999999999991</c:v>
                </c:pt>
                <c:pt idx="40">
                  <c:v>4.76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E-4235-9693-D989465E3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551311"/>
        <c:axId val="646008095"/>
      </c:barChart>
      <c:catAx>
        <c:axId val="739551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</a:t>
                </a:r>
                <a:r>
                  <a:rPr lang="en-US" baseline="0"/>
                  <a:t>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008095"/>
        <c:crosses val="autoZero"/>
        <c:auto val="1"/>
        <c:lblAlgn val="ctr"/>
        <c:lblOffset val="100"/>
        <c:noMultiLvlLbl val="0"/>
      </c:catAx>
      <c:valAx>
        <c:axId val="64600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</a:t>
                </a:r>
                <a:r>
                  <a:rPr lang="en-US" baseline="0"/>
                  <a:t> Margin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55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6</xdr:row>
      <xdr:rowOff>22225</xdr:rowOff>
    </xdr:from>
    <xdr:to>
      <xdr:col>11</xdr:col>
      <xdr:colOff>28575</xdr:colOff>
      <xdr:row>21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DBD6DF-044E-411D-B7BB-8915286F0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26.430396296295" createdVersion="6" refreshedVersion="6" minRefreshableVersion="3" recordCount="193" xr:uid="{281423C5-4A35-4854-8C9E-A025242419CE}">
  <cacheSource type="worksheet">
    <worksheetSource ref="A1:J194" sheet="Raw_Sales_Data"/>
  </cacheSource>
  <cacheFields count="10">
    <cacheField name="Invoice #" numFmtId="0">
      <sharedItems containsSemiMixedTypes="0" containsString="0" containsNumber="1" containsInteger="1" minValue="3021" maxValue="3072"/>
    </cacheField>
    <cacheField name="Customer #" numFmtId="0">
      <sharedItems containsSemiMixedTypes="0" containsString="0" containsNumber="1" containsInteger="1" minValue="2001" maxValue="2100" count="41">
        <n v="2001"/>
        <n v="2091"/>
        <n v="2025"/>
        <n v="2079"/>
        <n v="2099"/>
        <n v="2088"/>
        <n v="2087"/>
        <n v="2086"/>
        <n v="2053"/>
        <n v="2063"/>
        <n v="2041"/>
        <n v="2068"/>
        <n v="2051"/>
        <n v="2077"/>
        <n v="2044"/>
        <n v="2073"/>
        <n v="2064"/>
        <n v="2060"/>
        <n v="2074"/>
        <n v="2066"/>
        <n v="2035"/>
        <n v="2048"/>
        <n v="2100"/>
        <n v="2070"/>
        <n v="2031"/>
        <n v="2043"/>
        <n v="2084"/>
        <n v="2098"/>
        <n v="2036"/>
        <n v="2032"/>
        <n v="2081"/>
        <n v="2023"/>
        <n v="2046"/>
        <n v="2055"/>
        <n v="2024"/>
        <n v="2038"/>
        <n v="2006"/>
        <n v="2067"/>
        <n v="2047"/>
        <n v="2072"/>
        <n v="2018"/>
      </sharedItems>
    </cacheField>
    <cacheField name="Zip Code" numFmtId="0">
      <sharedItems/>
    </cacheField>
    <cacheField name="Date of Sale" numFmtId="14">
      <sharedItems containsSemiMixedTypes="0" containsNonDate="0" containsDate="1" containsString="0" minDate="2025-03-01T00:00:00" maxDate="2025-03-05T00:00:00"/>
    </cacheField>
    <cacheField name="SKU" numFmtId="0">
      <sharedItems/>
    </cacheField>
    <cacheField name="Description" numFmtId="0">
      <sharedItems/>
    </cacheField>
    <cacheField name="Quantity (Pounds)" numFmtId="0">
      <sharedItems containsSemiMixedTypes="0" containsString="0" containsNumber="1" containsInteger="1" minValue="5" maxValue="50"/>
    </cacheField>
    <cacheField name="Sales" numFmtId="0">
      <sharedItems containsSemiMixedTypes="0" containsString="0" containsNumber="1" minValue="2.52" maxValue="140.02000000000001"/>
    </cacheField>
    <cacheField name="Cost" numFmtId="0">
      <sharedItems containsSemiMixedTypes="0" containsString="0" containsNumber="1" minValue="1.56" maxValue="88.01"/>
    </cacheField>
    <cacheField name="Gross Margin" numFmtId="2">
      <sharedItems containsSemiMixedTypes="0" containsString="0" containsNumber="1" minValue="0.95999999999999974" maxValue="52.01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n v="3021"/>
    <x v="0"/>
    <s v="67510 "/>
    <d v="2025-03-01T00:00:00"/>
    <s v="FRT-APL"/>
    <s v="Apple"/>
    <n v="15"/>
    <n v="25.52"/>
    <n v="16.360000000000003"/>
    <n v="9.1599999999999966"/>
  </r>
  <r>
    <n v="3021"/>
    <x v="0"/>
    <s v="67510 "/>
    <d v="2025-03-01T00:00:00"/>
    <s v="FRT-GOR"/>
    <s v="Goji berry"/>
    <n v="5"/>
    <n v="5.919999999999999"/>
    <n v="3.71"/>
    <n v="2.2099999999999991"/>
  </r>
  <r>
    <n v="3021"/>
    <x v="0"/>
    <s v="67510 "/>
    <d v="2025-03-01T00:00:00"/>
    <s v="FRT-OLV"/>
    <s v="Olive"/>
    <n v="35"/>
    <n v="53.92"/>
    <n v="33.26"/>
    <n v="20.660000000000004"/>
  </r>
  <r>
    <n v="3021"/>
    <x v="0"/>
    <s v="67510 "/>
    <d v="2025-03-01T00:00:00"/>
    <s v="FRT-REN"/>
    <s v="Redcurrant"/>
    <n v="5"/>
    <n v="7.1199999999999992"/>
    <n v="4.26"/>
    <n v="2.8599999999999994"/>
  </r>
  <r>
    <n v="3022"/>
    <x v="1"/>
    <s v="67621 "/>
    <d v="2025-03-01T00:00:00"/>
    <s v="FRT-FII"/>
    <s v="Fig"/>
    <n v="35"/>
    <n v="84.37"/>
    <n v="54.26"/>
    <n v="30.110000000000007"/>
  </r>
  <r>
    <n v="3023"/>
    <x v="2"/>
    <s v="67511 "/>
    <d v="2025-03-01T00:00:00"/>
    <s v="FRT-JUR"/>
    <s v="Juniper berry"/>
    <n v="50"/>
    <n v="65.02"/>
    <n v="43.01"/>
    <n v="22.009999999999998"/>
  </r>
  <r>
    <n v="3023"/>
    <x v="2"/>
    <s v="67511 "/>
    <d v="2025-03-01T00:00:00"/>
    <s v="FRT-PAY"/>
    <s v="Papaya"/>
    <n v="35"/>
    <n v="37.120000000000005"/>
    <n v="22.060000000000002"/>
    <n v="15.060000000000002"/>
  </r>
  <r>
    <n v="3023"/>
    <x v="2"/>
    <s v="67511 "/>
    <d v="2025-03-01T00:00:00"/>
    <s v="FRT-BAN"/>
    <s v="Banana"/>
    <n v="5"/>
    <n v="2.52"/>
    <n v="1.56"/>
    <n v="0.96"/>
  </r>
  <r>
    <n v="3023"/>
    <x v="2"/>
    <s v="67511 "/>
    <d v="2025-03-01T00:00:00"/>
    <s v="FRT-PEO"/>
    <s v="Persimmon"/>
    <n v="35"/>
    <n v="69.67"/>
    <n v="43.059999999999995"/>
    <n v="26.610000000000007"/>
  </r>
  <r>
    <n v="3024"/>
    <x v="3"/>
    <s v="66401 "/>
    <d v="2025-03-01T00:00:00"/>
    <s v="FRT-SAM"/>
    <s v="Satsuma"/>
    <n v="50"/>
    <n v="34.520000000000003"/>
    <n v="22.01"/>
    <n v="12.510000000000002"/>
  </r>
  <r>
    <n v="3024"/>
    <x v="3"/>
    <s v="66401 "/>
    <d v="2025-03-01T00:00:00"/>
    <s v="FRT-MII"/>
    <s v="Miracle fruit"/>
    <n v="15"/>
    <n v="30.769999999999996"/>
    <n v="18.010000000000002"/>
    <n v="12.759999999999994"/>
  </r>
  <r>
    <n v="3024"/>
    <x v="3"/>
    <s v="66401 "/>
    <d v="2025-03-01T00:00:00"/>
    <s v="FRT-CHI"/>
    <s v="Chico fruit"/>
    <n v="15"/>
    <n v="26.27"/>
    <n v="15.46"/>
    <n v="10.809999999999999"/>
  </r>
  <r>
    <n v="3024"/>
    <x v="3"/>
    <s v="66401 "/>
    <d v="2025-03-01T00:00:00"/>
    <s v="FRT-DUA"/>
    <s v="Durian"/>
    <n v="25"/>
    <n v="54.27"/>
    <n v="33.01"/>
    <n v="21.260000000000005"/>
  </r>
  <r>
    <n v="3024"/>
    <x v="3"/>
    <s v="66401 "/>
    <d v="2025-03-01T00:00:00"/>
    <s v="FRT-BAN"/>
    <s v="Banana"/>
    <n v="35"/>
    <n v="17.52"/>
    <n v="10.86"/>
    <n v="6.66"/>
  </r>
  <r>
    <n v="3025"/>
    <x v="4"/>
    <s v="66710 "/>
    <d v="2025-03-01T00:00:00"/>
    <s v="FRT-SAM"/>
    <s v="Satsuma"/>
    <n v="30"/>
    <n v="20.72"/>
    <n v="13.209999999999999"/>
    <n v="7.51"/>
  </r>
  <r>
    <n v="3025"/>
    <x v="4"/>
    <s v="66710 "/>
    <d v="2025-03-01T00:00:00"/>
    <s v="FRT-ELR"/>
    <s v="Elderberry"/>
    <n v="25"/>
    <n v="60.27"/>
    <n v="38.01"/>
    <n v="22.260000000000005"/>
  </r>
  <r>
    <n v="3025"/>
    <x v="4"/>
    <s v="66710 "/>
    <d v="2025-03-01T00:00:00"/>
    <s v="FRT-NAC"/>
    <s v="Nance"/>
    <n v="5"/>
    <n v="5.919999999999999"/>
    <n v="3.6099999999999994"/>
    <n v="2.3099999999999996"/>
  </r>
  <r>
    <n v="3025"/>
    <x v="4"/>
    <s v="66710 "/>
    <d v="2025-03-01T00:00:00"/>
    <s v="FRT-BAN"/>
    <s v="Banana"/>
    <n v="45"/>
    <n v="22.52"/>
    <n v="13.959999999999999"/>
    <n v="8.56"/>
  </r>
  <r>
    <n v="3025"/>
    <x v="4"/>
    <s v="66710 "/>
    <d v="2025-03-01T00:00:00"/>
    <s v="FRT-LEO"/>
    <s v="Lemon"/>
    <n v="5"/>
    <n v="12.32"/>
    <n v="7.41"/>
    <n v="4.91"/>
  </r>
  <r>
    <n v="3025"/>
    <x v="4"/>
    <s v="66710 "/>
    <d v="2025-03-01T00:00:00"/>
    <s v="FRT-ORG"/>
    <s v="Orange"/>
    <n v="50"/>
    <n v="37.520000000000003"/>
    <n v="24.51"/>
    <n v="13.010000000000002"/>
  </r>
  <r>
    <n v="3026"/>
    <x v="5"/>
    <s v="67004 "/>
    <d v="2025-03-01T00:00:00"/>
    <s v="FRT-CHY"/>
    <s v="Cherimoya"/>
    <n v="45"/>
    <n v="78.77"/>
    <n v="49.96"/>
    <n v="28.809999999999995"/>
  </r>
  <r>
    <n v="3026"/>
    <x v="5"/>
    <s v="67004 "/>
    <d v="2025-03-01T00:00:00"/>
    <s v="FRT-ORG"/>
    <s v="Orange"/>
    <n v="35"/>
    <n v="26.27"/>
    <n v="17.16"/>
    <n v="9.11"/>
  </r>
  <r>
    <n v="3026"/>
    <x v="5"/>
    <s v="67004 "/>
    <d v="2025-03-01T00:00:00"/>
    <s v="FRT-LOA"/>
    <s v="Loquat"/>
    <n v="45"/>
    <n v="25.669999999999998"/>
    <n v="17.110000000000003"/>
    <n v="8.5599999999999952"/>
  </r>
  <r>
    <n v="3026"/>
    <x v="5"/>
    <s v="67004 "/>
    <d v="2025-03-01T00:00:00"/>
    <s v="FRT-FII"/>
    <s v="Fig"/>
    <n v="50"/>
    <n v="120.52"/>
    <n v="77.510000000000005"/>
    <n v="43.009999999999991"/>
  </r>
  <r>
    <n v="3026"/>
    <x v="5"/>
    <s v="67004 "/>
    <d v="2025-03-01T00:00:00"/>
    <s v="FRT-JAB"/>
    <s v="Jabuticaba"/>
    <n v="50"/>
    <n v="44.52"/>
    <n v="26.01"/>
    <n v="18.510000000000002"/>
  </r>
  <r>
    <n v="3027"/>
    <x v="6"/>
    <s v="67831 "/>
    <d v="2025-03-01T00:00:00"/>
    <s v="FRT-MAR"/>
    <s v="Marionberry"/>
    <n v="10"/>
    <n v="9.52"/>
    <n v="6.1099999999999994"/>
    <n v="3.41"/>
  </r>
  <r>
    <n v="3028"/>
    <x v="7"/>
    <s v="67416 "/>
    <d v="2025-03-01T00:00:00"/>
    <s v="FRT-ORG"/>
    <s v="Orange"/>
    <n v="15"/>
    <n v="11.27"/>
    <n v="7.3599999999999994"/>
    <n v="3.91"/>
  </r>
  <r>
    <n v="3028"/>
    <x v="7"/>
    <s v="67416 "/>
    <d v="2025-03-01T00:00:00"/>
    <s v="FRT-COU"/>
    <s v="Coconut"/>
    <n v="45"/>
    <n v="108.47"/>
    <n v="69.31"/>
    <n v="39.159999999999997"/>
  </r>
  <r>
    <n v="3028"/>
    <x v="7"/>
    <s v="67416 "/>
    <d v="2025-03-01T00:00:00"/>
    <s v="FRT-LOA"/>
    <s v="Loquat"/>
    <n v="5"/>
    <n v="2.8699999999999997"/>
    <n v="1.91"/>
    <n v="0.95999999999999974"/>
  </r>
  <r>
    <n v="3028"/>
    <x v="7"/>
    <s v="67416 "/>
    <d v="2025-03-01T00:00:00"/>
    <s v="FRT-BAN"/>
    <s v="Banana"/>
    <n v="40"/>
    <n v="20.02"/>
    <n v="12.41"/>
    <n v="7.6099999999999994"/>
  </r>
  <r>
    <n v="3028"/>
    <x v="7"/>
    <s v="67416 "/>
    <d v="2025-03-01T00:00:00"/>
    <s v="FRT-MII"/>
    <s v="Miracle fruit"/>
    <n v="35"/>
    <n v="71.77"/>
    <n v="42.01"/>
    <n v="29.759999999999998"/>
  </r>
  <r>
    <n v="3028"/>
    <x v="7"/>
    <s v="67416 "/>
    <d v="2025-03-01T00:00:00"/>
    <s v="FRT-APO"/>
    <s v="Apricot"/>
    <n v="25"/>
    <n v="70.02"/>
    <n v="44.01"/>
    <n v="26.009999999999998"/>
  </r>
  <r>
    <n v="3029"/>
    <x v="8"/>
    <s v="66402 "/>
    <d v="2025-03-01T00:00:00"/>
    <s v="FRT-BOR"/>
    <s v="Boysenberry"/>
    <n v="15"/>
    <n v="15.02"/>
    <n v="9.31"/>
    <n v="5.7099999999999991"/>
  </r>
  <r>
    <n v="3030"/>
    <x v="9"/>
    <s v="67010 "/>
    <d v="2025-03-01T00:00:00"/>
    <s v="FRT-APL"/>
    <s v="Apple"/>
    <n v="45"/>
    <n v="76.52"/>
    <n v="49.06"/>
    <n v="27.459999999999994"/>
  </r>
  <r>
    <n v="3030"/>
    <x v="9"/>
    <s v="67010 "/>
    <d v="2025-03-01T00:00:00"/>
    <s v="FRT-BIT"/>
    <s v="Bilberty"/>
    <n v="40"/>
    <n v="80.02"/>
    <n v="46.809999999999995"/>
    <n v="33.21"/>
  </r>
  <r>
    <n v="3030"/>
    <x v="9"/>
    <s v="67010 "/>
    <d v="2025-03-01T00:00:00"/>
    <s v="FRT-DRI"/>
    <s v="Dragonfruit"/>
    <n v="5"/>
    <n v="8.1699999999999982"/>
    <n v="4.91"/>
    <n v="3.259999999999998"/>
  </r>
  <r>
    <n v="3031"/>
    <x v="10"/>
    <s v="66404 "/>
    <d v="2025-03-01T00:00:00"/>
    <s v="FRT-LYE"/>
    <s v="Lychee"/>
    <n v="40"/>
    <n v="80.419999999999987"/>
    <n v="50.01"/>
    <n v="30.409999999999989"/>
  </r>
  <r>
    <n v="3031"/>
    <x v="10"/>
    <s v="66404 "/>
    <d v="2025-03-01T00:00:00"/>
    <s v="FRT-PUE"/>
    <s v="Purple mangosteen"/>
    <n v="40"/>
    <n v="40.42"/>
    <n v="23.61"/>
    <n v="16.810000000000002"/>
  </r>
  <r>
    <n v="3032"/>
    <x v="11"/>
    <s v="67418 "/>
    <d v="2025-03-01T00:00:00"/>
    <s v="FRT-TAN"/>
    <s v="Tamarind"/>
    <n v="20"/>
    <n v="43.82"/>
    <n v="27.61"/>
    <n v="16.21"/>
  </r>
  <r>
    <n v="3032"/>
    <x v="11"/>
    <s v="67418 "/>
    <d v="2025-03-01T00:00:00"/>
    <s v="FRT-GRI"/>
    <s v="GrapeRaisin"/>
    <n v="40"/>
    <n v="50.02"/>
    <n v="29.610000000000003"/>
    <n v="20.41"/>
  </r>
  <r>
    <n v="3033"/>
    <x v="12"/>
    <s v="67332 "/>
    <d v="2025-03-01T00:00:00"/>
    <s v="FRT-PLT"/>
    <s v="Plumcot (or Pluot)"/>
    <n v="20"/>
    <n v="42.02"/>
    <n v="24.810000000000002"/>
    <n v="17.21"/>
  </r>
  <r>
    <n v="3033"/>
    <x v="12"/>
    <s v="67332 "/>
    <d v="2025-03-01T00:00:00"/>
    <s v="FRT-SAR"/>
    <s v="Salal berry"/>
    <n v="35"/>
    <n v="39.220000000000006"/>
    <n v="23.110000000000003"/>
    <n v="16.110000000000003"/>
  </r>
  <r>
    <n v="3034"/>
    <x v="13"/>
    <s v="66749 "/>
    <d v="2025-03-01T00:00:00"/>
    <s v="FRT-BLR"/>
    <s v="Blackberry"/>
    <n v="40"/>
    <n v="80.02"/>
    <n v="51.61"/>
    <n v="28.409999999999997"/>
  </r>
  <r>
    <n v="3035"/>
    <x v="12"/>
    <s v="66713 "/>
    <d v="2025-03-01T00:00:00"/>
    <s v="FRT-CUE"/>
    <s v="Cucumber"/>
    <n v="50"/>
    <n v="91.02"/>
    <n v="54.510000000000005"/>
    <n v="36.509999999999991"/>
  </r>
  <r>
    <n v="3036"/>
    <x v="14"/>
    <s v="67516 "/>
    <d v="2025-03-01T00:00:00"/>
    <s v="FRT-CRR"/>
    <s v="Cranberry"/>
    <n v="45"/>
    <n v="45.470000000000006"/>
    <n v="27.46"/>
    <n v="18.010000000000005"/>
  </r>
  <r>
    <n v="3037"/>
    <x v="15"/>
    <s v="66406 "/>
    <d v="2025-03-01T00:00:00"/>
    <s v="FRT-GRI"/>
    <s v="GrapeRaisin"/>
    <n v="45"/>
    <n v="56.27"/>
    <n v="33.309999999999995"/>
    <n v="22.960000000000008"/>
  </r>
  <r>
    <n v="3038"/>
    <x v="16"/>
    <s v="67012 "/>
    <d v="2025-03-01T00:00:00"/>
    <s v="FRT-ORG"/>
    <s v="Orange"/>
    <n v="50"/>
    <n v="37.520000000000003"/>
    <n v="24.51"/>
    <n v="13.010000000000002"/>
  </r>
  <r>
    <n v="3039"/>
    <x v="17"/>
    <s v="67518 "/>
    <d v="2025-03-02T00:00:00"/>
    <s v="FRT-PLI"/>
    <s v="Plantain"/>
    <n v="5"/>
    <n v="10.32"/>
    <n v="6.21"/>
    <n v="4.1100000000000003"/>
  </r>
  <r>
    <n v="3039"/>
    <x v="17"/>
    <s v="67518 "/>
    <d v="2025-03-02T00:00:00"/>
    <s v="FRT-DRI"/>
    <s v="Dragonfruit"/>
    <n v="20"/>
    <n v="32.619999999999997"/>
    <n v="19.610000000000003"/>
    <n v="13.009999999999994"/>
  </r>
  <r>
    <n v="3039"/>
    <x v="17"/>
    <s v="67518 "/>
    <d v="2025-03-02T00:00:00"/>
    <s v="FRT-CHR"/>
    <s v="Cherry"/>
    <n v="25"/>
    <n v="62.52"/>
    <n v="39.01"/>
    <n v="23.510000000000005"/>
  </r>
  <r>
    <n v="3039"/>
    <x v="17"/>
    <s v="67518 "/>
    <d v="2025-03-02T00:00:00"/>
    <s v="FRT-ORG"/>
    <s v="Orange"/>
    <n v="15"/>
    <n v="11.27"/>
    <n v="7.3599999999999994"/>
    <n v="3.91"/>
  </r>
  <r>
    <n v="3039"/>
    <x v="17"/>
    <s v="67518 "/>
    <d v="2025-03-02T00:00:00"/>
    <s v="FRT-ORG"/>
    <s v="Orange"/>
    <n v="10"/>
    <n v="7.52"/>
    <n v="4.91"/>
    <n v="2.6099999999999994"/>
  </r>
  <r>
    <n v="3039"/>
    <x v="17"/>
    <s v="67518 "/>
    <d v="2025-03-02T00:00:00"/>
    <s v="FRT-SUL"/>
    <s v="Sugar apple"/>
    <n v="40"/>
    <n v="40.42"/>
    <n v="24.810000000000002"/>
    <n v="15.61"/>
  </r>
  <r>
    <n v="3039"/>
    <x v="17"/>
    <s v="67518 "/>
    <d v="2025-03-02T00:00:00"/>
    <s v="FRT-UGI"/>
    <s v="Ugli fruit"/>
    <n v="15"/>
    <n v="16.82"/>
    <n v="10.36"/>
    <n v="6.4600000000000009"/>
  </r>
  <r>
    <n v="3039"/>
    <x v="17"/>
    <s v="67518 "/>
    <d v="2025-03-02T00:00:00"/>
    <s v="FRT-ORG"/>
    <s v="Orange"/>
    <n v="25"/>
    <n v="18.77"/>
    <n v="12.26"/>
    <n v="6.51"/>
  </r>
  <r>
    <n v="3039"/>
    <x v="17"/>
    <s v="67518 "/>
    <d v="2025-03-02T00:00:00"/>
    <s v="FRT-PLT"/>
    <s v="Plumcot (or Pluot)"/>
    <n v="50"/>
    <n v="105.02"/>
    <n v="62.01"/>
    <n v="43.01"/>
  </r>
  <r>
    <n v="3040"/>
    <x v="18"/>
    <s v="67422 "/>
    <d v="2025-03-02T00:00:00"/>
    <s v="FRT-SOS"/>
    <s v="Solanum quitoense"/>
    <n v="20"/>
    <n v="18.819999999999997"/>
    <n v="11.809999999999999"/>
    <n v="7.009999999999998"/>
  </r>
  <r>
    <n v="3040"/>
    <x v="18"/>
    <s v="67422 "/>
    <d v="2025-03-02T00:00:00"/>
    <s v="FRT-APL"/>
    <s v="Apple"/>
    <n v="15"/>
    <n v="25.52"/>
    <n v="16.360000000000003"/>
    <n v="9.1599999999999966"/>
  </r>
  <r>
    <n v="3040"/>
    <x v="18"/>
    <s v="67422 "/>
    <d v="2025-03-02T00:00:00"/>
    <s v="FRT-JUR"/>
    <s v="Juniper berry"/>
    <n v="50"/>
    <n v="65.02"/>
    <n v="43.01"/>
    <n v="22.009999999999998"/>
  </r>
  <r>
    <n v="3041"/>
    <x v="19"/>
    <s v="66408 "/>
    <d v="2025-03-02T00:00:00"/>
    <s v="FRT-BAN"/>
    <s v="Banana"/>
    <n v="50"/>
    <n v="25.02"/>
    <n v="15.51"/>
    <n v="9.51"/>
  </r>
  <r>
    <n v="3041"/>
    <x v="19"/>
    <s v="66408 "/>
    <d v="2025-03-02T00:00:00"/>
    <s v="FRT-BLN"/>
    <s v="Blackcurrent"/>
    <n v="30"/>
    <n v="60.02"/>
    <n v="35.409999999999997"/>
    <n v="24.610000000000007"/>
  </r>
  <r>
    <n v="3042"/>
    <x v="20"/>
    <s v="67423 "/>
    <d v="2025-03-02T00:00:00"/>
    <s v="FRT-AVD"/>
    <s v="Avocado"/>
    <n v="30"/>
    <n v="30.02"/>
    <n v="17.71"/>
    <n v="12.309999999999999"/>
  </r>
  <r>
    <n v="3043"/>
    <x v="6"/>
    <s v="67731 "/>
    <d v="2025-03-02T00:00:00"/>
    <s v="FRT-TAN"/>
    <s v="Tamarind"/>
    <n v="50"/>
    <n v="109.52"/>
    <n v="69.010000000000005"/>
    <n v="40.509999999999991"/>
  </r>
  <r>
    <n v="3043"/>
    <x v="6"/>
    <s v="67731 "/>
    <d v="2025-03-02T00:00:00"/>
    <s v="FRT-APL"/>
    <s v="Apple"/>
    <n v="50"/>
    <n v="85.02"/>
    <n v="54.510000000000005"/>
    <n v="30.509999999999991"/>
  </r>
  <r>
    <n v="3043"/>
    <x v="6"/>
    <s v="67731 "/>
    <d v="2025-03-02T00:00:00"/>
    <s v="FRT-KUA"/>
    <s v="Kumquat"/>
    <n v="15"/>
    <n v="10.669999999999998"/>
    <n v="6.76"/>
    <n v="3.9099999999999984"/>
  </r>
  <r>
    <n v="3043"/>
    <x v="6"/>
    <s v="67731 "/>
    <d v="2025-03-02T00:00:00"/>
    <s v="FRT-CUE"/>
    <s v="Cucumber"/>
    <n v="50"/>
    <n v="91.02"/>
    <n v="54.510000000000005"/>
    <n v="36.509999999999991"/>
  </r>
  <r>
    <n v="3044"/>
    <x v="21"/>
    <s v="67018 "/>
    <d v="2025-03-02T00:00:00"/>
    <s v="FRT-GOR"/>
    <s v="Goji berry"/>
    <n v="45"/>
    <n v="53.12"/>
    <n v="33.309999999999995"/>
    <n v="19.810000000000002"/>
  </r>
  <r>
    <n v="3044"/>
    <x v="21"/>
    <s v="67018 "/>
    <d v="2025-03-02T00:00:00"/>
    <s v="FRT-CUN"/>
    <s v="Currant"/>
    <n v="30"/>
    <n v="52.52"/>
    <n v="31.210000000000004"/>
    <n v="21.31"/>
  </r>
  <r>
    <n v="3045"/>
    <x v="22"/>
    <s v="66226 "/>
    <d v="2025-03-02T00:00:00"/>
    <s v="FRT-JAB"/>
    <s v="Jabuticaba"/>
    <n v="5"/>
    <n v="4.47"/>
    <n v="2.61"/>
    <n v="1.8599999999999999"/>
  </r>
  <r>
    <n v="3045"/>
    <x v="22"/>
    <s v="66226 "/>
    <d v="2025-03-02T00:00:00"/>
    <s v="FRT-PEA"/>
    <s v="Pear"/>
    <n v="50"/>
    <n v="91.52"/>
    <n v="53.51"/>
    <n v="38.01"/>
  </r>
  <r>
    <n v="3045"/>
    <x v="22"/>
    <s v="66226 "/>
    <d v="2025-03-02T00:00:00"/>
    <s v="FRT-BLR"/>
    <s v="Blackberry"/>
    <n v="5"/>
    <n v="10.02"/>
    <n v="6.46"/>
    <n v="3.5599999999999996"/>
  </r>
  <r>
    <n v="3045"/>
    <x v="22"/>
    <s v="66226 "/>
    <d v="2025-03-02T00:00:00"/>
    <s v="FRT-RAR"/>
    <s v="Raspberry"/>
    <n v="10"/>
    <n v="11.419999999999998"/>
    <n v="7.01"/>
    <n v="4.4099999999999984"/>
  </r>
  <r>
    <n v="3046"/>
    <x v="16"/>
    <s v="67732 "/>
    <d v="2025-03-02T00:00:00"/>
    <s v="FRT-POT"/>
    <s v="Pomegranate"/>
    <n v="15"/>
    <n v="9.77"/>
    <n v="6.31"/>
    <n v="3.46"/>
  </r>
  <r>
    <n v="3046"/>
    <x v="16"/>
    <s v="67732 "/>
    <d v="2025-03-02T00:00:00"/>
    <s v="FRT-LIM"/>
    <s v="Lime"/>
    <n v="10"/>
    <n v="9.6199999999999992"/>
    <n v="5.7099999999999991"/>
    <n v="3.91"/>
  </r>
  <r>
    <n v="3046"/>
    <x v="16"/>
    <s v="67732 "/>
    <d v="2025-03-02T00:00:00"/>
    <s v="FRT-PAY"/>
    <s v="Papaya"/>
    <n v="5"/>
    <n v="5.32"/>
    <n v="3.1599999999999997"/>
    <n v="2.1600000000000006"/>
  </r>
  <r>
    <n v="3046"/>
    <x v="16"/>
    <s v="67732 "/>
    <d v="2025-03-02T00:00:00"/>
    <s v="FRT-BLR"/>
    <s v="Blackberry"/>
    <n v="25"/>
    <n v="50.02"/>
    <n v="32.26"/>
    <n v="17.760000000000005"/>
  </r>
  <r>
    <n v="3046"/>
    <x v="16"/>
    <s v="67732 "/>
    <d v="2025-03-02T00:00:00"/>
    <s v="FRT-FEO"/>
    <s v="Feijoa"/>
    <n v="40"/>
    <n v="79.22"/>
    <n v="52.01"/>
    <n v="27.21"/>
  </r>
  <r>
    <n v="3046"/>
    <x v="16"/>
    <s v="67732 "/>
    <d v="2025-03-02T00:00:00"/>
    <s v="FRT-SOO"/>
    <s v="Soursop"/>
    <n v="45"/>
    <n v="108.02"/>
    <n v="65.710000000000008"/>
    <n v="42.309999999999988"/>
  </r>
  <r>
    <n v="3046"/>
    <x v="16"/>
    <s v="67732 "/>
    <d v="2025-03-02T00:00:00"/>
    <s v="FRT-MUR"/>
    <s v="Mulberry"/>
    <n v="25"/>
    <n v="16.52"/>
    <n v="11.01"/>
    <n v="5.51"/>
  </r>
  <r>
    <n v="3047"/>
    <x v="23"/>
    <s v="67522 "/>
    <d v="2025-03-02T00:00:00"/>
    <s v="FRT-PEC"/>
    <s v="Peach"/>
    <n v="15"/>
    <n v="17.27"/>
    <n v="10.659999999999998"/>
    <n v="6.6100000000000012"/>
  </r>
  <r>
    <n v="3048"/>
    <x v="24"/>
    <s v="67626 "/>
    <d v="2025-03-02T00:00:00"/>
    <s v="FRT-BAN"/>
    <s v="Banana"/>
    <n v="35"/>
    <n v="17.52"/>
    <n v="10.86"/>
    <n v="6.66"/>
  </r>
  <r>
    <n v="3048"/>
    <x v="24"/>
    <s v="67626 "/>
    <d v="2025-03-02T00:00:00"/>
    <s v="FRT-BAN"/>
    <s v="Banana"/>
    <n v="15"/>
    <n v="7.52"/>
    <n v="4.66"/>
    <n v="2.8599999999999994"/>
  </r>
  <r>
    <n v="3048"/>
    <x v="24"/>
    <s v="67626 "/>
    <d v="2025-03-02T00:00:00"/>
    <s v="FRT-ORG"/>
    <s v="Orange"/>
    <n v="5"/>
    <n v="3.77"/>
    <n v="2.46"/>
    <n v="1.31"/>
  </r>
  <r>
    <n v="3048"/>
    <x v="24"/>
    <s v="67626 "/>
    <d v="2025-03-02T00:00:00"/>
    <s v="FRT-SOO"/>
    <s v="Soursop"/>
    <n v="40"/>
    <n v="96.02"/>
    <n v="58.41"/>
    <n v="37.61"/>
  </r>
  <r>
    <n v="3048"/>
    <x v="24"/>
    <s v="67626 "/>
    <d v="2025-03-02T00:00:00"/>
    <s v="FRT-CUN"/>
    <s v="Currant"/>
    <n v="25"/>
    <n v="43.77"/>
    <n v="26.01"/>
    <n v="17.760000000000002"/>
  </r>
  <r>
    <n v="3048"/>
    <x v="24"/>
    <s v="67626 "/>
    <d v="2025-03-02T00:00:00"/>
    <s v="FRT-RAA"/>
    <s v="Rambutan"/>
    <n v="20"/>
    <n v="46.02"/>
    <n v="30.41"/>
    <n v="15.610000000000003"/>
  </r>
  <r>
    <n v="3049"/>
    <x v="25"/>
    <s v="66840 "/>
    <d v="2025-03-02T00:00:00"/>
    <s v="FRT-BAN"/>
    <s v="Banana"/>
    <n v="25"/>
    <n v="12.52"/>
    <n v="7.76"/>
    <n v="4.76"/>
  </r>
  <r>
    <n v="3050"/>
    <x v="26"/>
    <s v="66936 "/>
    <d v="2025-03-02T00:00:00"/>
    <s v="FRT-PUE"/>
    <s v="Purple mangosteen"/>
    <n v="10"/>
    <n v="10.119999999999999"/>
    <n v="5.9099999999999993"/>
    <n v="4.21"/>
  </r>
  <r>
    <n v="3050"/>
    <x v="26"/>
    <s v="66936 "/>
    <d v="2025-03-02T00:00:00"/>
    <s v="FRT-BAN"/>
    <s v="Banana"/>
    <n v="15"/>
    <n v="7.52"/>
    <n v="4.66"/>
    <n v="2.8599999999999994"/>
  </r>
  <r>
    <n v="3050"/>
    <x v="26"/>
    <s v="66936 "/>
    <d v="2025-03-02T00:00:00"/>
    <s v="FRT-GUV"/>
    <s v="Guava"/>
    <n v="15"/>
    <n v="14.12"/>
    <n v="8.41"/>
    <n v="5.7099999999999991"/>
  </r>
  <r>
    <n v="3050"/>
    <x v="26"/>
    <s v="66936 "/>
    <d v="2025-03-02T00:00:00"/>
    <s v="FRT-YUZ"/>
    <s v="Yuzu"/>
    <n v="5"/>
    <n v="7.52"/>
    <n v="4.66"/>
    <n v="2.8599999999999994"/>
  </r>
  <r>
    <n v="3050"/>
    <x v="26"/>
    <s v="66936 "/>
    <d v="2025-03-02T00:00:00"/>
    <s v="FRT-APL"/>
    <s v="Apple"/>
    <n v="10"/>
    <n v="17.02"/>
    <n v="10.91"/>
    <n v="6.1099999999999994"/>
  </r>
  <r>
    <n v="3050"/>
    <x v="26"/>
    <s v="66936 "/>
    <d v="2025-03-02T00:00:00"/>
    <s v="FRT-PLM"/>
    <s v="PlumPrune (dried plum)"/>
    <n v="5"/>
    <n v="6.57"/>
    <n v="3.86"/>
    <n v="2.7100000000000004"/>
  </r>
  <r>
    <n v="3051"/>
    <x v="27"/>
    <s v="67023 "/>
    <d v="2025-03-02T00:00:00"/>
    <s v="FRT-PAI"/>
    <s v="Passionfruit"/>
    <n v="35"/>
    <n v="32.92"/>
    <n v="21.36"/>
    <n v="11.560000000000002"/>
  </r>
  <r>
    <n v="3052"/>
    <x v="28"/>
    <s v="67333 "/>
    <d v="2025-03-02T00:00:00"/>
    <s v="FRT-SOS"/>
    <s v="Solanum quitoense"/>
    <n v="10"/>
    <n v="9.4199999999999982"/>
    <n v="5.9099999999999993"/>
    <n v="3.5099999999999989"/>
  </r>
  <r>
    <n v="3052"/>
    <x v="28"/>
    <s v="67333 "/>
    <d v="2025-03-02T00:00:00"/>
    <s v="FRT-FEO"/>
    <s v="Feijoa"/>
    <n v="35"/>
    <n v="69.319999999999993"/>
    <n v="45.51"/>
    <n v="23.809999999999995"/>
  </r>
  <r>
    <n v="3053"/>
    <x v="29"/>
    <s v="66414 "/>
    <d v="2025-03-02T00:00:00"/>
    <s v="FRT-JAU"/>
    <s v="Jambul"/>
    <n v="45"/>
    <n v="87.77"/>
    <n v="50.859999999999992"/>
    <n v="36.910000000000004"/>
  </r>
  <r>
    <n v="3053"/>
    <x v="29"/>
    <s v="66414 "/>
    <d v="2025-03-02T00:00:00"/>
    <s v="FRT-CLR"/>
    <s v="Cloudberry"/>
    <n v="45"/>
    <n v="78.77"/>
    <n v="49.06"/>
    <n v="29.709999999999994"/>
  </r>
  <r>
    <n v="3054"/>
    <x v="5"/>
    <s v="66842 "/>
    <d v="2025-03-02T00:00:00"/>
    <s v="FRT-DAO"/>
    <s v="Damson"/>
    <n v="25"/>
    <n v="51.02"/>
    <n v="33.51"/>
    <n v="17.510000000000005"/>
  </r>
  <r>
    <n v="3054"/>
    <x v="5"/>
    <s v="66842 "/>
    <d v="2025-03-02T00:00:00"/>
    <s v="FRT-BLN"/>
    <s v="Blackcurrent"/>
    <n v="10"/>
    <n v="20.02"/>
    <n v="11.809999999999999"/>
    <n v="8.2100000000000009"/>
  </r>
  <r>
    <n v="3054"/>
    <x v="5"/>
    <s v="66842 "/>
    <d v="2025-03-02T00:00:00"/>
    <s v="FRT-PHI"/>
    <s v="Physalis"/>
    <n v="40"/>
    <n v="72.819999999999993"/>
    <n v="44.81"/>
    <n v="28.009999999999991"/>
  </r>
  <r>
    <n v="3054"/>
    <x v="5"/>
    <s v="66842 "/>
    <d v="2025-03-02T00:00:00"/>
    <s v="FRT-GUV"/>
    <s v="Guava"/>
    <n v="40"/>
    <n v="37.619999999999997"/>
    <n v="22.410000000000004"/>
    <n v="15.209999999999994"/>
  </r>
  <r>
    <n v="3054"/>
    <x v="5"/>
    <s v="66842 "/>
    <d v="2025-03-02T00:00:00"/>
    <s v="FRT-PIL"/>
    <s v="Pineapple"/>
    <n v="35"/>
    <n v="26.97"/>
    <n v="16.110000000000003"/>
    <n v="10.859999999999996"/>
  </r>
  <r>
    <n v="3054"/>
    <x v="5"/>
    <s v="66842 "/>
    <d v="2025-03-02T00:00:00"/>
    <s v="FRT-BAN"/>
    <s v="Banana"/>
    <n v="40"/>
    <n v="20.02"/>
    <n v="12.41"/>
    <n v="7.6099999999999994"/>
  </r>
  <r>
    <n v="3055"/>
    <x v="30"/>
    <s v="66014 "/>
    <d v="2025-03-02T00:00:00"/>
    <s v="FRT-JUB"/>
    <s v="Jujube"/>
    <n v="40"/>
    <n v="59.620000000000005"/>
    <n v="38.01"/>
    <n v="21.610000000000007"/>
  </r>
  <r>
    <n v="3055"/>
    <x v="30"/>
    <s v="66014 "/>
    <d v="2025-03-03T00:00:00"/>
    <s v="FRT-JAI"/>
    <s v="Jackfruit"/>
    <n v="15"/>
    <n v="9.4699999999999989"/>
    <n v="5.56"/>
    <n v="3.9099999999999993"/>
  </r>
  <r>
    <n v="3055"/>
    <x v="30"/>
    <s v="66014 "/>
    <d v="2025-03-03T00:00:00"/>
    <s v="FRT-POL"/>
    <s v="Pomelo"/>
    <n v="10"/>
    <n v="23.720000000000002"/>
    <n v="15.41"/>
    <n v="8.3100000000000023"/>
  </r>
  <r>
    <n v="3055"/>
    <x v="30"/>
    <s v="66014 "/>
    <d v="2025-03-03T00:00:00"/>
    <s v="FRT-CRR"/>
    <s v="Cranberry"/>
    <n v="45"/>
    <n v="45.470000000000006"/>
    <n v="27.46"/>
    <n v="18.010000000000005"/>
  </r>
  <r>
    <n v="3055"/>
    <x v="30"/>
    <s v="66014 "/>
    <d v="2025-03-03T00:00:00"/>
    <s v="FRT-NEN"/>
    <s v="Nectarine"/>
    <n v="50"/>
    <n v="73.52"/>
    <n v="48.01"/>
    <n v="25.509999999999998"/>
  </r>
  <r>
    <n v="3055"/>
    <x v="30"/>
    <s v="66014 "/>
    <d v="2025-03-03T00:00:00"/>
    <s v="FRT-POL"/>
    <s v="Pomelo"/>
    <n v="35"/>
    <n v="82.97"/>
    <n v="53.91"/>
    <n v="29.060000000000002"/>
  </r>
  <r>
    <n v="3055"/>
    <x v="30"/>
    <s v="66014 "/>
    <d v="2025-03-03T00:00:00"/>
    <s v="FRT-PEA"/>
    <s v="Pear"/>
    <n v="30"/>
    <n v="54.920000000000009"/>
    <n v="32.11"/>
    <n v="22.810000000000009"/>
  </r>
  <r>
    <n v="3055"/>
    <x v="30"/>
    <s v="66014 "/>
    <d v="2025-03-03T00:00:00"/>
    <s v="FRT-BAN"/>
    <s v="Banana"/>
    <n v="45"/>
    <n v="22.52"/>
    <n v="13.959999999999999"/>
    <n v="8.56"/>
  </r>
  <r>
    <n v="3056"/>
    <x v="9"/>
    <s v="67335 "/>
    <d v="2025-03-03T00:00:00"/>
    <s v="FRT-APL"/>
    <s v="Apple"/>
    <n v="10"/>
    <n v="17.02"/>
    <n v="10.91"/>
    <n v="6.1099999999999994"/>
  </r>
  <r>
    <n v="3056"/>
    <x v="9"/>
    <s v="67335 "/>
    <d v="2025-03-03T00:00:00"/>
    <s v="FRT-CLR"/>
    <s v="Cloudberry"/>
    <n v="40"/>
    <n v="70.02"/>
    <n v="43.61"/>
    <n v="26.409999999999997"/>
  </r>
  <r>
    <n v="3057"/>
    <x v="31"/>
    <s v="67835 "/>
    <d v="2025-03-03T00:00:00"/>
    <s v="FRT-STR"/>
    <s v="Strawberry"/>
    <n v="30"/>
    <n v="24.02"/>
    <n v="15.610000000000001"/>
    <n v="8.4099999999999984"/>
  </r>
  <r>
    <n v="3058"/>
    <x v="32"/>
    <s v="66416 "/>
    <d v="2025-03-03T00:00:00"/>
    <s v="FRT-DUA"/>
    <s v="Durian"/>
    <n v="5"/>
    <n v="10.87"/>
    <n v="6.61"/>
    <n v="4.2599999999999989"/>
  </r>
  <r>
    <n v="3058"/>
    <x v="32"/>
    <s v="66416 "/>
    <d v="2025-03-03T00:00:00"/>
    <s v="FRT-MUR"/>
    <s v="Mulberry"/>
    <n v="20"/>
    <n v="13.22"/>
    <n v="8.81"/>
    <n v="4.41"/>
  </r>
  <r>
    <n v="3059"/>
    <x v="33"/>
    <s v="67432 "/>
    <d v="2025-03-03T00:00:00"/>
    <s v="FRT-PEC"/>
    <s v="Peach"/>
    <n v="10"/>
    <n v="11.52"/>
    <n v="7.1099999999999994"/>
    <n v="4.41"/>
  </r>
  <r>
    <n v="3059"/>
    <x v="33"/>
    <s v="67432 "/>
    <d v="2025-03-03T00:00:00"/>
    <s v="FRT-YUZ"/>
    <s v="Yuzu"/>
    <n v="5"/>
    <n v="7.52"/>
    <n v="4.66"/>
    <n v="2.8599999999999994"/>
  </r>
  <r>
    <n v="3059"/>
    <x v="33"/>
    <s v="67432 "/>
    <d v="2025-03-03T00:00:00"/>
    <s v="FRT-ELR"/>
    <s v="Elderberry"/>
    <n v="15"/>
    <n v="36.170000000000009"/>
    <n v="22.810000000000002"/>
    <n v="13.360000000000007"/>
  </r>
  <r>
    <n v="3059"/>
    <x v="33"/>
    <s v="67432 "/>
    <d v="2025-03-03T00:00:00"/>
    <s v="FRT-CHI"/>
    <s v="Chico fruit"/>
    <n v="10"/>
    <n v="17.52"/>
    <n v="10.31"/>
    <n v="7.2099999999999991"/>
  </r>
  <r>
    <n v="3060"/>
    <x v="32"/>
    <s v="67026 "/>
    <d v="2025-03-03T00:00:00"/>
    <s v="FRT-UGI"/>
    <s v="Ugli fruit"/>
    <n v="45"/>
    <n v="50.420000000000009"/>
    <n v="31.06"/>
    <n v="19.36000000000001"/>
  </r>
  <r>
    <n v="3061"/>
    <x v="34"/>
    <s v="66937 "/>
    <d v="2025-03-03T00:00:00"/>
    <s v="FRT-BAN"/>
    <s v="Banana"/>
    <n v="15"/>
    <n v="7.52"/>
    <n v="4.66"/>
    <n v="2.8599999999999994"/>
  </r>
  <r>
    <n v="3061"/>
    <x v="34"/>
    <s v="66937 "/>
    <d v="2025-03-03T00:00:00"/>
    <s v="FRT-AVD"/>
    <s v="Avocado"/>
    <n v="50"/>
    <n v="50.02"/>
    <n v="29.51"/>
    <n v="20.51"/>
  </r>
  <r>
    <n v="3061"/>
    <x v="34"/>
    <s v="66937 "/>
    <d v="2025-03-03T00:00:00"/>
    <s v="FRT-CHY"/>
    <s v="Cherimoya"/>
    <n v="40"/>
    <n v="70.02"/>
    <n v="44.410000000000004"/>
    <n v="25.609999999999992"/>
  </r>
  <r>
    <n v="3061"/>
    <x v="34"/>
    <s v="66937 "/>
    <d v="2025-03-03T00:00:00"/>
    <s v="FRT-APL"/>
    <s v="Apple"/>
    <n v="15"/>
    <n v="25.52"/>
    <n v="16.360000000000003"/>
    <n v="9.1599999999999966"/>
  </r>
  <r>
    <n v="3061"/>
    <x v="34"/>
    <s v="66937 "/>
    <d v="2025-03-03T00:00:00"/>
    <s v="FRT-GRI"/>
    <s v="GrapeRaisin"/>
    <n v="40"/>
    <n v="50.02"/>
    <n v="29.610000000000003"/>
    <n v="20.41"/>
  </r>
  <r>
    <n v="3061"/>
    <x v="34"/>
    <s v="66937 "/>
    <d v="2025-03-03T00:00:00"/>
    <s v="FRT-ORG"/>
    <s v="Orange"/>
    <n v="40"/>
    <n v="30.02"/>
    <n v="19.610000000000003"/>
    <n v="10.409999999999997"/>
  </r>
  <r>
    <n v="3061"/>
    <x v="34"/>
    <s v="66937 "/>
    <d v="2025-03-03T00:00:00"/>
    <s v="FRT-ORG"/>
    <s v="Orange"/>
    <n v="10"/>
    <n v="7.52"/>
    <n v="4.91"/>
    <n v="2.6099999999999994"/>
  </r>
  <r>
    <n v="3061"/>
    <x v="34"/>
    <s v="66937 "/>
    <d v="2025-03-03T00:00:00"/>
    <s v="FRT-HUR"/>
    <s v="Huckleberry"/>
    <n v="40"/>
    <n v="38.42"/>
    <n v="25.21"/>
    <n v="13.21"/>
  </r>
  <r>
    <n v="3062"/>
    <x v="5"/>
    <s v="67631 "/>
    <d v="2025-03-03T00:00:00"/>
    <s v="FRT-SAR"/>
    <s v="Salal berry"/>
    <n v="15"/>
    <n v="16.82"/>
    <n v="9.91"/>
    <n v="6.91"/>
  </r>
  <r>
    <n v="3062"/>
    <x v="5"/>
    <s v="67631 "/>
    <d v="2025-03-03T00:00:00"/>
    <s v="FRT-PAI"/>
    <s v="Passionfruit"/>
    <n v="30"/>
    <n v="28.22"/>
    <n v="18.310000000000002"/>
    <n v="9.9099999999999966"/>
  </r>
  <r>
    <n v="3063"/>
    <x v="35"/>
    <s v="66725 "/>
    <d v="2025-03-03T00:00:00"/>
    <s v="FRT-NEN"/>
    <s v="Nectarine"/>
    <n v="10"/>
    <n v="14.719999999999999"/>
    <n v="9.61"/>
    <n v="5.1099999999999994"/>
  </r>
  <r>
    <n v="3063"/>
    <x v="35"/>
    <s v="66725 "/>
    <d v="2025-03-03T00:00:00"/>
    <s v="FRT-KUA"/>
    <s v="Kumquat"/>
    <n v="5"/>
    <n v="3.57"/>
    <n v="2.2599999999999998"/>
    <n v="1.31"/>
  </r>
  <r>
    <n v="3063"/>
    <x v="35"/>
    <s v="66725 "/>
    <d v="2025-03-03T00:00:00"/>
    <s v="FRT-PEO"/>
    <s v="Persimmon"/>
    <n v="15"/>
    <n v="29.87"/>
    <n v="18.46"/>
    <n v="11.41"/>
  </r>
  <r>
    <n v="3064"/>
    <x v="36"/>
    <s v="67031 "/>
    <d v="2025-03-03T00:00:00"/>
    <s v="FRT-KII"/>
    <s v="Kiwifruit"/>
    <n v="15"/>
    <n v="34.82"/>
    <n v="20.560000000000002"/>
    <n v="14.259999999999998"/>
  </r>
  <r>
    <n v="3064"/>
    <x v="36"/>
    <s v="67031 "/>
    <d v="2025-03-03T00:00:00"/>
    <s v="FRT-SAA"/>
    <s v="Salak"/>
    <n v="50"/>
    <n v="40.520000000000003"/>
    <n v="25.01"/>
    <n v="15.510000000000002"/>
  </r>
  <r>
    <n v="3065"/>
    <x v="37"/>
    <s v="67837 "/>
    <d v="2025-03-03T00:00:00"/>
    <s v="FRT-TAL"/>
    <s v="Tamarillo"/>
    <n v="20"/>
    <n v="15.42"/>
    <n v="10.209999999999999"/>
    <n v="5.2100000000000009"/>
  </r>
  <r>
    <n v="3065"/>
    <x v="37"/>
    <s v="67837 "/>
    <d v="2025-03-03T00:00:00"/>
    <s v="FRT-ORG"/>
    <s v="Orange"/>
    <n v="45"/>
    <n v="33.770000000000003"/>
    <n v="22.060000000000002"/>
    <n v="11.71"/>
  </r>
  <r>
    <n v="3065"/>
    <x v="37"/>
    <s v="67837 "/>
    <d v="2025-03-03T00:00:00"/>
    <s v="FRT-PHI"/>
    <s v="Physalis"/>
    <n v="25"/>
    <n v="45.52"/>
    <n v="28.010000000000005"/>
    <n v="17.509999999999998"/>
  </r>
  <r>
    <n v="3065"/>
    <x v="37"/>
    <s v="67837 "/>
    <d v="2025-03-04T00:00:00"/>
    <s v="FRT-DAO"/>
    <s v="Damson"/>
    <n v="15"/>
    <n v="30.62"/>
    <n v="20.110000000000003"/>
    <n v="10.509999999999998"/>
  </r>
  <r>
    <n v="3066"/>
    <x v="38"/>
    <s v="66939 "/>
    <d v="2025-03-04T00:00:00"/>
    <s v="FRT-PIL"/>
    <s v="Pineapple"/>
    <n v="10"/>
    <n v="7.72"/>
    <n v="4.6100000000000003"/>
    <n v="3.1099999999999994"/>
  </r>
  <r>
    <n v="3067"/>
    <x v="39"/>
    <s v="66736 "/>
    <d v="2025-03-04T00:00:00"/>
    <s v="FRT-APL"/>
    <s v="Apple"/>
    <n v="50"/>
    <n v="85.02"/>
    <n v="54.510000000000005"/>
    <n v="30.509999999999991"/>
  </r>
  <r>
    <n v="3067"/>
    <x v="39"/>
    <s v="66736 "/>
    <d v="2025-03-04T00:00:00"/>
    <s v="FRT-LYE"/>
    <s v="Lychee"/>
    <n v="50"/>
    <n v="100.51999999999998"/>
    <n v="62.51"/>
    <n v="38.009999999999984"/>
  </r>
  <r>
    <n v="3067"/>
    <x v="39"/>
    <s v="66736 "/>
    <d v="2025-03-04T00:00:00"/>
    <s v="FRT-JUB"/>
    <s v="Jujube"/>
    <n v="30"/>
    <n v="44.720000000000006"/>
    <n v="28.51"/>
    <n v="16.210000000000004"/>
  </r>
  <r>
    <n v="3067"/>
    <x v="39"/>
    <s v="66736 "/>
    <d v="2025-03-04T00:00:00"/>
    <s v="FRT-STI"/>
    <s v="Star fruit"/>
    <n v="5"/>
    <n v="12.52"/>
    <n v="7.86"/>
    <n v="4.6599999999999993"/>
  </r>
  <r>
    <n v="3067"/>
    <x v="39"/>
    <s v="66736 "/>
    <d v="2025-03-04T00:00:00"/>
    <s v="FRT-MAG"/>
    <s v="Mango"/>
    <n v="20"/>
    <n v="46.220000000000006"/>
    <n v="29.41"/>
    <n v="16.810000000000006"/>
  </r>
  <r>
    <n v="3067"/>
    <x v="39"/>
    <s v="66736 "/>
    <d v="2025-03-04T00:00:00"/>
    <s v="FRT-PLI"/>
    <s v="Plantain"/>
    <n v="40"/>
    <n v="82.42"/>
    <n v="49.61"/>
    <n v="32.81"/>
  </r>
  <r>
    <n v="3068"/>
    <x v="32"/>
    <s v="67035 "/>
    <d v="2025-03-04T00:00:00"/>
    <s v="FRT-BLR"/>
    <s v="Blackberry"/>
    <n v="30"/>
    <n v="60.02"/>
    <n v="38.71"/>
    <n v="21.310000000000002"/>
  </r>
  <r>
    <n v="3068"/>
    <x v="32"/>
    <s v="67035 "/>
    <d v="2025-03-04T00:00:00"/>
    <s v="FRT-LIM"/>
    <s v="Lime"/>
    <n v="5"/>
    <n v="4.8199999999999994"/>
    <n v="2.8599999999999994"/>
    <n v="1.96"/>
  </r>
  <r>
    <n v="3068"/>
    <x v="32"/>
    <s v="67035 "/>
    <d v="2025-03-04T00:00:00"/>
    <s v="FRT-ORG"/>
    <s v="Orange"/>
    <n v="20"/>
    <n v="15.02"/>
    <n v="9.81"/>
    <n v="5.2099999999999991"/>
  </r>
  <r>
    <n v="3068"/>
    <x v="32"/>
    <s v="67035 "/>
    <d v="2025-03-04T00:00:00"/>
    <s v="FRT-LEO"/>
    <s v="Lemon"/>
    <n v="40"/>
    <n v="98.42"/>
    <n v="59.21"/>
    <n v="39.21"/>
  </r>
  <r>
    <n v="3068"/>
    <x v="32"/>
    <s v="67035 "/>
    <d v="2025-03-04T00:00:00"/>
    <s v="FRT-GOR"/>
    <s v="Goji berry"/>
    <n v="40"/>
    <n v="47.22"/>
    <n v="29.610000000000003"/>
    <n v="17.609999999999996"/>
  </r>
  <r>
    <n v="3068"/>
    <x v="32"/>
    <s v="67035 "/>
    <d v="2025-03-04T00:00:00"/>
    <s v="FRT-LOA"/>
    <s v="Loquat"/>
    <n v="5"/>
    <n v="2.8699999999999997"/>
    <n v="1.91"/>
    <n v="0.95999999999999974"/>
  </r>
  <r>
    <n v="3069"/>
    <x v="38"/>
    <s v="67838 "/>
    <d v="2025-03-04T00:00:00"/>
    <s v="FRT-STR"/>
    <s v="Strawberry"/>
    <n v="35"/>
    <n v="28.02"/>
    <n v="18.21"/>
    <n v="9.8099999999999987"/>
  </r>
  <r>
    <n v="3069"/>
    <x v="38"/>
    <s v="67838 "/>
    <d v="2025-03-04T00:00:00"/>
    <s v="FRT-BIT"/>
    <s v="Bilberty"/>
    <n v="50"/>
    <n v="100.02"/>
    <n v="58.51"/>
    <n v="41.51"/>
  </r>
  <r>
    <n v="3069"/>
    <x v="38"/>
    <s v="67838 "/>
    <d v="2025-03-04T00:00:00"/>
    <s v="FRT-MEO"/>
    <s v="Melon"/>
    <n v="10"/>
    <n v="19.419999999999998"/>
    <n v="12.01"/>
    <n v="7.4099999999999984"/>
  </r>
  <r>
    <n v="3069"/>
    <x v="38"/>
    <s v="67838 "/>
    <d v="2025-03-04T00:00:00"/>
    <s v="FRT-QUC"/>
    <s v="Quince"/>
    <n v="45"/>
    <n v="46.370000000000005"/>
    <n v="28.360000000000003"/>
    <n v="18.010000000000002"/>
  </r>
  <r>
    <n v="3069"/>
    <x v="38"/>
    <s v="67838 "/>
    <d v="2025-03-04T00:00:00"/>
    <s v="FRT-RAR"/>
    <s v="Raspberry"/>
    <n v="40"/>
    <n v="45.62"/>
    <n v="28.01"/>
    <n v="17.609999999999996"/>
  </r>
  <r>
    <n v="3069"/>
    <x v="38"/>
    <s v="67838 "/>
    <d v="2025-03-04T00:00:00"/>
    <s v="FRT-HOR"/>
    <s v="Honeyberry"/>
    <n v="40"/>
    <n v="37.619999999999997"/>
    <n v="23.61"/>
    <n v="14.009999999999998"/>
  </r>
  <r>
    <n v="3069"/>
    <x v="38"/>
    <s v="67838 "/>
    <d v="2025-03-04T00:00:00"/>
    <s v="FRT-MAG"/>
    <s v="Mango"/>
    <n v="35"/>
    <n v="80.87"/>
    <n v="51.459999999999994"/>
    <n v="29.410000000000011"/>
  </r>
  <r>
    <n v="3069"/>
    <x v="38"/>
    <s v="67838 "/>
    <d v="2025-03-04T00:00:00"/>
    <s v="FRT-SUL"/>
    <s v="Sugar apple"/>
    <n v="25"/>
    <n v="25.27"/>
    <n v="15.51"/>
    <n v="9.76"/>
  </r>
  <r>
    <n v="3069"/>
    <x v="38"/>
    <s v="67838 "/>
    <d v="2025-03-04T00:00:00"/>
    <s v="FRT-APO"/>
    <s v="Apricot"/>
    <n v="50"/>
    <n v="140.02000000000001"/>
    <n v="88.01"/>
    <n v="52.010000000000005"/>
  </r>
  <r>
    <n v="3069"/>
    <x v="38"/>
    <s v="67838 "/>
    <d v="2025-03-04T00:00:00"/>
    <s v="FRT-BAN"/>
    <s v="Banana"/>
    <n v="40"/>
    <n v="20.02"/>
    <n v="12.41"/>
    <n v="7.6099999999999994"/>
  </r>
  <r>
    <n v="3069"/>
    <x v="38"/>
    <s v="67838 "/>
    <d v="2025-03-04T00:00:00"/>
    <s v="FRT-DAT"/>
    <s v="Date"/>
    <n v="5"/>
    <n v="4.169999999999999"/>
    <n v="2.71"/>
    <n v="1.4599999999999991"/>
  </r>
  <r>
    <n v="3069"/>
    <x v="38"/>
    <s v="67838 "/>
    <d v="2025-03-04T00:00:00"/>
    <s v="FRT-GRI"/>
    <s v="GrapeRaisin"/>
    <n v="50"/>
    <n v="62.52"/>
    <n v="37.01"/>
    <n v="25.510000000000005"/>
  </r>
  <r>
    <n v="3069"/>
    <x v="38"/>
    <s v="67838 "/>
    <d v="2025-03-04T00:00:00"/>
    <s v="FRT-MAR"/>
    <s v="Marionberry"/>
    <n v="35"/>
    <n v="33.270000000000003"/>
    <n v="21.36"/>
    <n v="11.910000000000004"/>
  </r>
  <r>
    <n v="3069"/>
    <x v="38"/>
    <s v="67838 "/>
    <d v="2025-03-04T00:00:00"/>
    <s v="FRT-ORG"/>
    <s v="Orange"/>
    <n v="20"/>
    <n v="15.02"/>
    <n v="9.81"/>
    <n v="5.2099999999999991"/>
  </r>
  <r>
    <n v="3069"/>
    <x v="38"/>
    <s v="67838 "/>
    <d v="2025-03-04T00:00:00"/>
    <s v="FRT-DAT"/>
    <s v="Date"/>
    <n v="15"/>
    <n v="12.469999999999999"/>
    <n v="8.1100000000000012"/>
    <n v="4.3599999999999977"/>
  </r>
  <r>
    <n v="3069"/>
    <x v="38"/>
    <s v="67838 "/>
    <d v="2025-03-04T00:00:00"/>
    <s v="FRT-ORG"/>
    <s v="Orange"/>
    <n v="40"/>
    <n v="30.02"/>
    <n v="19.610000000000003"/>
    <n v="10.409999999999997"/>
  </r>
  <r>
    <n v="3069"/>
    <x v="38"/>
    <s v="67838 "/>
    <d v="2025-03-04T00:00:00"/>
    <s v="FRT-SAA"/>
    <s v="Salak"/>
    <n v="35"/>
    <n v="28.37"/>
    <n v="17.510000000000002"/>
    <n v="10.86"/>
  </r>
  <r>
    <n v="3069"/>
    <x v="38"/>
    <s v="67838 "/>
    <d v="2025-03-04T00:00:00"/>
    <s v="FRT-PLM"/>
    <s v="PlumPrune (dried plum)"/>
    <n v="10"/>
    <n v="13.120000000000001"/>
    <n v="7.71"/>
    <n v="5.410000000000001"/>
  </r>
  <r>
    <n v="3069"/>
    <x v="38"/>
    <s v="67838 "/>
    <d v="2025-03-04T00:00:00"/>
    <s v="FRT-RAA"/>
    <s v="Rambutan"/>
    <n v="20"/>
    <n v="46.02"/>
    <n v="30.41"/>
    <n v="15.610000000000003"/>
  </r>
  <r>
    <n v="3069"/>
    <x v="38"/>
    <s v="67838 "/>
    <d v="2025-03-04T00:00:00"/>
    <s v="FRT-APL"/>
    <s v="Apple"/>
    <n v="20"/>
    <n v="34.020000000000003"/>
    <n v="21.810000000000002"/>
    <n v="12.21"/>
  </r>
  <r>
    <n v="3069"/>
    <x v="38"/>
    <s v="67838 "/>
    <d v="2025-03-04T00:00:00"/>
    <s v="FRT-QUC"/>
    <s v="Quince"/>
    <n v="5"/>
    <n v="5.17"/>
    <n v="3.1599999999999997"/>
    <n v="2.0100000000000002"/>
  </r>
  <r>
    <n v="3069"/>
    <x v="38"/>
    <s v="67838 "/>
    <d v="2025-03-04T00:00:00"/>
    <s v="FRT-MEO"/>
    <s v="Melon"/>
    <n v="30"/>
    <n v="58.22"/>
    <n v="36.01"/>
    <n v="22.21"/>
  </r>
  <r>
    <n v="3069"/>
    <x v="38"/>
    <s v="67838 "/>
    <d v="2025-03-04T00:00:00"/>
    <s v="FRT-ORG"/>
    <s v="Orange"/>
    <n v="45"/>
    <n v="33.770000000000003"/>
    <n v="22.060000000000002"/>
    <n v="11.71"/>
  </r>
  <r>
    <n v="3069"/>
    <x v="38"/>
    <s v="67838 "/>
    <d v="2025-03-04T00:00:00"/>
    <s v="FRT-REN"/>
    <s v="Redcurrant"/>
    <n v="15"/>
    <n v="21.319999999999997"/>
    <n v="12.76"/>
    <n v="8.5599999999999969"/>
  </r>
  <r>
    <n v="3070"/>
    <x v="40"/>
    <s v="67342 "/>
    <d v="2025-03-04T00:00:00"/>
    <s v="FRT-STI"/>
    <s v="Star fruit"/>
    <n v="30"/>
    <n v="75.02"/>
    <n v="47.11"/>
    <n v="27.909999999999997"/>
  </r>
  <r>
    <n v="3070"/>
    <x v="40"/>
    <s v="67342 "/>
    <d v="2025-03-04T00:00:00"/>
    <s v="FRT-COU"/>
    <s v="Coconut"/>
    <n v="35"/>
    <n v="84.37"/>
    <n v="53.91"/>
    <n v="30.460000000000008"/>
  </r>
  <r>
    <n v="3070"/>
    <x v="40"/>
    <s v="67342 "/>
    <d v="2025-03-04T00:00:00"/>
    <s v="FRT-HOR"/>
    <s v="Honeyberry"/>
    <n v="40"/>
    <n v="37.619999999999997"/>
    <n v="23.61"/>
    <n v="14.009999999999998"/>
  </r>
  <r>
    <n v="3070"/>
    <x v="40"/>
    <s v="67342 "/>
    <d v="2025-03-04T00:00:00"/>
    <s v="FRT-GOR"/>
    <s v="Goji berry"/>
    <n v="10"/>
    <n v="11.819999999999999"/>
    <n v="7.41"/>
    <n v="4.4099999999999984"/>
  </r>
  <r>
    <n v="3071"/>
    <x v="14"/>
    <s v="67042 "/>
    <d v="2025-03-04T00:00:00"/>
    <s v="FRT-LOA"/>
    <s v="Loquat"/>
    <n v="5"/>
    <n v="2.8699999999999997"/>
    <n v="1.91"/>
    <n v="0.95999999999999974"/>
  </r>
  <r>
    <n v="3071"/>
    <x v="14"/>
    <s v="67042 "/>
    <d v="2025-03-04T00:00:00"/>
    <s v="FRT-NAC"/>
    <s v="Nance"/>
    <n v="40"/>
    <n v="47.22"/>
    <n v="28.81"/>
    <n v="18.41"/>
  </r>
  <r>
    <n v="3071"/>
    <x v="14"/>
    <s v="67042 "/>
    <d v="2025-03-04T00:00:00"/>
    <s v="FRT-KII"/>
    <s v="Kiwifruit"/>
    <n v="20"/>
    <n v="46.42"/>
    <n v="27.410000000000004"/>
    <n v="19.009999999999998"/>
  </r>
  <r>
    <n v="3072"/>
    <x v="22"/>
    <s v="67344 "/>
    <d v="2025-03-04T00:00:00"/>
    <s v="FRT-JAI"/>
    <s v="Jackfruit"/>
    <n v="20"/>
    <n v="12.62"/>
    <n v="7.41"/>
    <n v="5.2099999999999991"/>
  </r>
  <r>
    <n v="3072"/>
    <x v="22"/>
    <s v="67344 "/>
    <d v="2025-03-04T00:00:00"/>
    <s v="FRT-OLV"/>
    <s v="Olive"/>
    <n v="10"/>
    <n v="15.42"/>
    <n v="9.51"/>
    <n v="5.91"/>
  </r>
  <r>
    <n v="3072"/>
    <x v="22"/>
    <s v="67344 "/>
    <d v="2025-03-04T00:00:00"/>
    <s v="FRT-JAU"/>
    <s v="Jambul"/>
    <n v="40"/>
    <n v="78.02"/>
    <n v="45.209999999999994"/>
    <n v="32.81"/>
  </r>
  <r>
    <n v="3072"/>
    <x v="22"/>
    <s v="67344 "/>
    <d v="2025-03-04T00:00:00"/>
    <s v="FRT-BOR"/>
    <s v="Boysenberry"/>
    <n v="50"/>
    <n v="50.02"/>
    <n v="31.01"/>
    <n v="19.010000000000002"/>
  </r>
  <r>
    <n v="3072"/>
    <x v="22"/>
    <s v="67344 "/>
    <d v="2025-03-04T00:00:00"/>
    <s v="FRT-TAL"/>
    <s v="Tamarillo"/>
    <n v="35"/>
    <n v="26.97"/>
    <n v="17.860000000000003"/>
    <n v="9.1099999999999959"/>
  </r>
  <r>
    <n v="3072"/>
    <x v="22"/>
    <s v="67344 "/>
    <d v="2025-03-04T00:00:00"/>
    <s v="FRT-HUR"/>
    <s v="Huckleberry"/>
    <n v="5"/>
    <n v="4.8199999999999994"/>
    <n v="3.1599999999999997"/>
    <n v="1.6599999999999997"/>
  </r>
  <r>
    <n v="3072"/>
    <x v="22"/>
    <s v="67344 "/>
    <d v="2025-03-04T00:00:00"/>
    <s v="FRT-POT"/>
    <s v="Pomegranate"/>
    <n v="40"/>
    <n v="26.02"/>
    <n v="16.810000000000002"/>
    <n v="9.2099999999999973"/>
  </r>
  <r>
    <n v="3072"/>
    <x v="22"/>
    <s v="67344 "/>
    <d v="2025-03-04T00:00:00"/>
    <s v="FRT-CHR"/>
    <s v="Cherry"/>
    <n v="5"/>
    <n v="12.52"/>
    <n v="7.8100000000000005"/>
    <n v="4.70999999999999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AB154-EB9E-449E-9573-06073C1DCD09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Customer Number">
  <location ref="A3:B45" firstHeaderRow="1" firstDataRow="1" firstDataCol="1"/>
  <pivotFields count="10">
    <pivotField showAll="0"/>
    <pivotField axis="axisRow" showAll="0" sortType="descending">
      <items count="42">
        <item x="0"/>
        <item x="36"/>
        <item x="40"/>
        <item x="31"/>
        <item x="34"/>
        <item x="2"/>
        <item x="24"/>
        <item x="29"/>
        <item x="20"/>
        <item x="28"/>
        <item x="35"/>
        <item x="10"/>
        <item x="25"/>
        <item x="14"/>
        <item x="32"/>
        <item x="38"/>
        <item x="21"/>
        <item x="12"/>
        <item x="8"/>
        <item x="33"/>
        <item x="17"/>
        <item x="9"/>
        <item x="16"/>
        <item x="19"/>
        <item x="37"/>
        <item x="11"/>
        <item x="23"/>
        <item x="39"/>
        <item x="15"/>
        <item x="18"/>
        <item x="13"/>
        <item x="3"/>
        <item x="30"/>
        <item x="26"/>
        <item x="7"/>
        <item x="6"/>
        <item x="5"/>
        <item x="1"/>
        <item x="27"/>
        <item x="4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showAll="0"/>
    <pivotField showAll="0"/>
    <pivotField dataField="1" numFmtId="2" showAll="0"/>
  </pivotFields>
  <rowFields count="1">
    <field x="1"/>
  </rowFields>
  <rowItems count="42">
    <i>
      <x v="15"/>
    </i>
    <i>
      <x v="36"/>
    </i>
    <i>
      <x v="27"/>
    </i>
    <i>
      <x v="32"/>
    </i>
    <i>
      <x v="40"/>
    </i>
    <i>
      <x v="20"/>
    </i>
    <i>
      <x v="22"/>
    </i>
    <i>
      <x v="35"/>
    </i>
    <i>
      <x v="14"/>
    </i>
    <i>
      <x v="34"/>
    </i>
    <i>
      <x v="4"/>
    </i>
    <i>
      <x v="21"/>
    </i>
    <i>
      <x v="6"/>
    </i>
    <i>
      <x v="2"/>
    </i>
    <i>
      <x v="17"/>
    </i>
    <i>
      <x v="7"/>
    </i>
    <i>
      <x v="5"/>
    </i>
    <i>
      <x v="31"/>
    </i>
    <i>
      <x v="39"/>
    </i>
    <i>
      <x v="13"/>
    </i>
    <i>
      <x v="11"/>
    </i>
    <i>
      <x v="24"/>
    </i>
    <i>
      <x v="16"/>
    </i>
    <i>
      <x v="29"/>
    </i>
    <i>
      <x v="25"/>
    </i>
    <i>
      <x/>
    </i>
    <i>
      <x v="23"/>
    </i>
    <i>
      <x v="37"/>
    </i>
    <i>
      <x v="1"/>
    </i>
    <i>
      <x v="30"/>
    </i>
    <i>
      <x v="19"/>
    </i>
    <i>
      <x v="9"/>
    </i>
    <i>
      <x v="33"/>
    </i>
    <i>
      <x v="28"/>
    </i>
    <i>
      <x v="10"/>
    </i>
    <i>
      <x v="8"/>
    </i>
    <i>
      <x v="38"/>
    </i>
    <i>
      <x v="3"/>
    </i>
    <i>
      <x v="26"/>
    </i>
    <i>
      <x v="18"/>
    </i>
    <i>
      <x v="12"/>
    </i>
    <i t="grand">
      <x/>
    </i>
  </rowItems>
  <colItems count="1">
    <i/>
  </colItems>
  <dataFields count="1">
    <dataField name="Sum of Gross Margin" fld="9" baseField="0" baseItem="0" numFmtId="2"/>
  </dataFields>
  <formats count="3">
    <format dxfId="2">
      <pivotArea collapsedLevelsAreSubtotals="1" fieldPosition="0">
        <references count="1">
          <reference field="1" count="1">
            <x v="0"/>
          </reference>
        </references>
      </pivotArea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F44D2-FAC2-4731-AB5C-6BBB4A8156B8}">
  <dimension ref="A3:B45"/>
  <sheetViews>
    <sheetView tabSelected="1" workbookViewId="0">
      <selection activeCell="M13" sqref="M13"/>
    </sheetView>
  </sheetViews>
  <sheetFormatPr defaultRowHeight="14.5" x14ac:dyDescent="0.35"/>
  <cols>
    <col min="1" max="1" width="18.6328125" bestFit="1" customWidth="1"/>
    <col min="2" max="2" width="18.36328125" style="10" bestFit="1" customWidth="1"/>
  </cols>
  <sheetData>
    <row r="3" spans="1:2" x14ac:dyDescent="0.35">
      <c r="A3" s="8" t="s">
        <v>218</v>
      </c>
      <c r="B3" s="10" t="s">
        <v>217</v>
      </c>
    </row>
    <row r="4" spans="1:2" x14ac:dyDescent="0.35">
      <c r="A4" s="9">
        <v>2047</v>
      </c>
      <c r="B4" s="10">
        <v>357.7</v>
      </c>
    </row>
    <row r="5" spans="1:2" x14ac:dyDescent="0.35">
      <c r="A5" s="9">
        <v>2088</v>
      </c>
      <c r="B5" s="10">
        <v>212.22999999999996</v>
      </c>
    </row>
    <row r="6" spans="1:2" x14ac:dyDescent="0.35">
      <c r="A6" s="9">
        <v>2072</v>
      </c>
      <c r="B6" s="10">
        <v>139.01</v>
      </c>
    </row>
    <row r="7" spans="1:2" x14ac:dyDescent="0.35">
      <c r="A7" s="9">
        <v>2081</v>
      </c>
      <c r="B7" s="10">
        <v>137.78000000000003</v>
      </c>
    </row>
    <row r="8" spans="1:2" x14ac:dyDescent="0.35">
      <c r="A8" s="9">
        <v>2100</v>
      </c>
      <c r="B8" s="10">
        <v>135.47</v>
      </c>
    </row>
    <row r="9" spans="1:2" x14ac:dyDescent="0.35">
      <c r="A9" s="9">
        <v>2060</v>
      </c>
      <c r="B9" s="10">
        <v>118.74000000000001</v>
      </c>
    </row>
    <row r="10" spans="1:2" x14ac:dyDescent="0.35">
      <c r="A10" s="9">
        <v>2064</v>
      </c>
      <c r="B10" s="10">
        <v>115.33000000000001</v>
      </c>
    </row>
    <row r="11" spans="1:2" x14ac:dyDescent="0.35">
      <c r="A11" s="9">
        <v>2087</v>
      </c>
      <c r="B11" s="10">
        <v>114.84999999999997</v>
      </c>
    </row>
    <row r="12" spans="1:2" x14ac:dyDescent="0.35">
      <c r="A12" s="9">
        <v>2046</v>
      </c>
      <c r="B12" s="10">
        <v>114.29</v>
      </c>
    </row>
    <row r="13" spans="1:2" x14ac:dyDescent="0.35">
      <c r="A13" s="9">
        <v>2086</v>
      </c>
      <c r="B13" s="10">
        <v>107.41</v>
      </c>
    </row>
    <row r="14" spans="1:2" x14ac:dyDescent="0.35">
      <c r="A14" s="9">
        <v>2024</v>
      </c>
      <c r="B14" s="10">
        <v>104.77999999999997</v>
      </c>
    </row>
    <row r="15" spans="1:2" x14ac:dyDescent="0.35">
      <c r="A15" s="9">
        <v>2063</v>
      </c>
      <c r="B15" s="10">
        <v>96.449999999999989</v>
      </c>
    </row>
    <row r="16" spans="1:2" x14ac:dyDescent="0.35">
      <c r="A16" s="9">
        <v>2031</v>
      </c>
      <c r="B16" s="10">
        <v>81.81</v>
      </c>
    </row>
    <row r="17" spans="1:2" x14ac:dyDescent="0.35">
      <c r="A17" s="9">
        <v>2018</v>
      </c>
      <c r="B17" s="10">
        <v>76.789999999999992</v>
      </c>
    </row>
    <row r="18" spans="1:2" x14ac:dyDescent="0.35">
      <c r="A18" s="9">
        <v>2051</v>
      </c>
      <c r="B18" s="10">
        <v>69.83</v>
      </c>
    </row>
    <row r="19" spans="1:2" x14ac:dyDescent="0.35">
      <c r="A19" s="9">
        <v>2032</v>
      </c>
      <c r="B19" s="10">
        <v>66.62</v>
      </c>
    </row>
    <row r="20" spans="1:2" x14ac:dyDescent="0.35">
      <c r="A20" s="9">
        <v>2025</v>
      </c>
      <c r="B20" s="10">
        <v>64.640000000000015</v>
      </c>
    </row>
    <row r="21" spans="1:2" x14ac:dyDescent="0.35">
      <c r="A21" s="9">
        <v>2079</v>
      </c>
      <c r="B21" s="10">
        <v>64</v>
      </c>
    </row>
    <row r="22" spans="1:2" x14ac:dyDescent="0.35">
      <c r="A22" s="9">
        <v>2099</v>
      </c>
      <c r="B22" s="10">
        <v>58.560000000000016</v>
      </c>
    </row>
    <row r="23" spans="1:2" x14ac:dyDescent="0.35">
      <c r="A23" s="9">
        <v>2044</v>
      </c>
      <c r="B23" s="10">
        <v>56.390000000000008</v>
      </c>
    </row>
    <row r="24" spans="1:2" x14ac:dyDescent="0.35">
      <c r="A24" s="9">
        <v>2041</v>
      </c>
      <c r="B24" s="10">
        <v>47.219999999999992</v>
      </c>
    </row>
    <row r="25" spans="1:2" x14ac:dyDescent="0.35">
      <c r="A25" s="9">
        <v>2067</v>
      </c>
      <c r="B25" s="10">
        <v>44.94</v>
      </c>
    </row>
    <row r="26" spans="1:2" x14ac:dyDescent="0.35">
      <c r="A26" s="9">
        <v>2048</v>
      </c>
      <c r="B26" s="10">
        <v>41.120000000000005</v>
      </c>
    </row>
    <row r="27" spans="1:2" x14ac:dyDescent="0.35">
      <c r="A27" s="9">
        <v>2074</v>
      </c>
      <c r="B27" s="10">
        <v>38.179999999999993</v>
      </c>
    </row>
    <row r="28" spans="1:2" x14ac:dyDescent="0.35">
      <c r="A28" s="9">
        <v>2068</v>
      </c>
      <c r="B28" s="10">
        <v>36.620000000000005</v>
      </c>
    </row>
    <row r="29" spans="1:2" x14ac:dyDescent="0.35">
      <c r="A29" s="9">
        <v>2001</v>
      </c>
      <c r="B29" s="10">
        <v>34.89</v>
      </c>
    </row>
    <row r="30" spans="1:2" x14ac:dyDescent="0.35">
      <c r="A30" s="9">
        <v>2066</v>
      </c>
      <c r="B30" s="10">
        <v>34.120000000000005</v>
      </c>
    </row>
    <row r="31" spans="1:2" x14ac:dyDescent="0.35">
      <c r="A31" s="9">
        <v>2091</v>
      </c>
      <c r="B31" s="10">
        <v>30.110000000000007</v>
      </c>
    </row>
    <row r="32" spans="1:2" x14ac:dyDescent="0.35">
      <c r="A32" s="9">
        <v>2006</v>
      </c>
      <c r="B32" s="10">
        <v>29.77</v>
      </c>
    </row>
    <row r="33" spans="1:2" x14ac:dyDescent="0.35">
      <c r="A33" s="9">
        <v>2077</v>
      </c>
      <c r="B33" s="10">
        <v>28.409999999999997</v>
      </c>
    </row>
    <row r="34" spans="1:2" x14ac:dyDescent="0.35">
      <c r="A34" s="9">
        <v>2055</v>
      </c>
      <c r="B34" s="10">
        <v>27.840000000000003</v>
      </c>
    </row>
    <row r="35" spans="1:2" x14ac:dyDescent="0.35">
      <c r="A35" s="9">
        <v>2036</v>
      </c>
      <c r="B35" s="10">
        <v>27.319999999999993</v>
      </c>
    </row>
    <row r="36" spans="1:2" x14ac:dyDescent="0.35">
      <c r="A36" s="9">
        <v>2084</v>
      </c>
      <c r="B36" s="10">
        <v>24.459999999999997</v>
      </c>
    </row>
    <row r="37" spans="1:2" x14ac:dyDescent="0.35">
      <c r="A37" s="9">
        <v>2073</v>
      </c>
      <c r="B37" s="10">
        <v>22.960000000000008</v>
      </c>
    </row>
    <row r="38" spans="1:2" x14ac:dyDescent="0.35">
      <c r="A38" s="9">
        <v>2038</v>
      </c>
      <c r="B38" s="10">
        <v>17.829999999999998</v>
      </c>
    </row>
    <row r="39" spans="1:2" x14ac:dyDescent="0.35">
      <c r="A39" s="9">
        <v>2035</v>
      </c>
      <c r="B39" s="10">
        <v>12.309999999999999</v>
      </c>
    </row>
    <row r="40" spans="1:2" x14ac:dyDescent="0.35">
      <c r="A40" s="9">
        <v>2098</v>
      </c>
      <c r="B40" s="10">
        <v>11.560000000000002</v>
      </c>
    </row>
    <row r="41" spans="1:2" x14ac:dyDescent="0.35">
      <c r="A41" s="9">
        <v>2023</v>
      </c>
      <c r="B41" s="10">
        <v>8.4099999999999984</v>
      </c>
    </row>
    <row r="42" spans="1:2" x14ac:dyDescent="0.35">
      <c r="A42" s="9">
        <v>2070</v>
      </c>
      <c r="B42" s="10">
        <v>6.6100000000000012</v>
      </c>
    </row>
    <row r="43" spans="1:2" x14ac:dyDescent="0.35">
      <c r="A43" s="9">
        <v>2053</v>
      </c>
      <c r="B43" s="10">
        <v>5.7099999999999991</v>
      </c>
    </row>
    <row r="44" spans="1:2" x14ac:dyDescent="0.35">
      <c r="A44" s="9">
        <v>2043</v>
      </c>
      <c r="B44" s="10">
        <v>4.76</v>
      </c>
    </row>
    <row r="45" spans="1:2" x14ac:dyDescent="0.35">
      <c r="A45" s="9" t="s">
        <v>216</v>
      </c>
      <c r="B45" s="10">
        <v>2827.83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"/>
  <sheetViews>
    <sheetView zoomScale="140" workbookViewId="0">
      <selection activeCell="D190" sqref="D190"/>
    </sheetView>
  </sheetViews>
  <sheetFormatPr defaultColWidth="8.81640625" defaultRowHeight="14.5" x14ac:dyDescent="0.35"/>
  <cols>
    <col min="2" max="2" width="11" bestFit="1" customWidth="1"/>
    <col min="4" max="4" width="11.54296875" bestFit="1" customWidth="1"/>
    <col min="6" max="6" width="14.453125" customWidth="1"/>
    <col min="7" max="7" width="17.453125" bestFit="1" customWidth="1"/>
    <col min="8" max="8" width="7" bestFit="1" customWidth="1"/>
    <col min="10" max="10" width="12.453125" style="7" bestFit="1" customWidth="1"/>
  </cols>
  <sheetData>
    <row r="1" spans="1:10" x14ac:dyDescent="0.35">
      <c r="A1" s="3" t="s">
        <v>83</v>
      </c>
      <c r="B1" s="3" t="s">
        <v>84</v>
      </c>
      <c r="C1" s="3" t="s">
        <v>82</v>
      </c>
      <c r="D1" s="3" t="s">
        <v>80</v>
      </c>
      <c r="E1" s="3" t="s">
        <v>77</v>
      </c>
      <c r="F1" s="3" t="s">
        <v>137</v>
      </c>
      <c r="G1" s="3" t="s">
        <v>79</v>
      </c>
      <c r="H1" s="3" t="s">
        <v>81</v>
      </c>
      <c r="I1" s="5" t="s">
        <v>78</v>
      </c>
      <c r="J1" s="6" t="s">
        <v>215</v>
      </c>
    </row>
    <row r="2" spans="1:10" x14ac:dyDescent="0.35">
      <c r="A2" s="1">
        <v>3021</v>
      </c>
      <c r="B2" s="1">
        <v>2001</v>
      </c>
      <c r="C2" s="4" t="s">
        <v>85</v>
      </c>
      <c r="D2" s="2">
        <v>45717</v>
      </c>
      <c r="E2" s="1" t="s">
        <v>0</v>
      </c>
      <c r="F2" s="1" t="s">
        <v>138</v>
      </c>
      <c r="G2">
        <v>15</v>
      </c>
      <c r="H2">
        <v>25.52</v>
      </c>
      <c r="I2">
        <v>16.360000000000003</v>
      </c>
      <c r="J2" s="7">
        <f>H2-I2</f>
        <v>9.1599999999999966</v>
      </c>
    </row>
    <row r="3" spans="1:10" x14ac:dyDescent="0.35">
      <c r="A3" s="1">
        <v>3021</v>
      </c>
      <c r="B3" s="1">
        <v>2001</v>
      </c>
      <c r="C3" s="1" t="s">
        <v>85</v>
      </c>
      <c r="D3" s="2">
        <v>45717</v>
      </c>
      <c r="E3" s="1" t="s">
        <v>24</v>
      </c>
      <c r="F3" s="1" t="s">
        <v>139</v>
      </c>
      <c r="G3">
        <v>5</v>
      </c>
      <c r="H3">
        <v>5.919999999999999</v>
      </c>
      <c r="I3">
        <v>3.71</v>
      </c>
      <c r="J3" s="7">
        <f t="shared" ref="J3:J66" si="0">H3-I3</f>
        <v>2.2099999999999991</v>
      </c>
    </row>
    <row r="4" spans="1:10" x14ac:dyDescent="0.35">
      <c r="A4" s="1">
        <v>3021</v>
      </c>
      <c r="B4" s="1">
        <v>2001</v>
      </c>
      <c r="C4" s="1" t="s">
        <v>85</v>
      </c>
      <c r="D4" s="2">
        <v>45717</v>
      </c>
      <c r="E4" s="1" t="s">
        <v>47</v>
      </c>
      <c r="F4" s="1" t="s">
        <v>140</v>
      </c>
      <c r="G4">
        <v>35</v>
      </c>
      <c r="H4">
        <v>53.92</v>
      </c>
      <c r="I4">
        <v>33.26</v>
      </c>
      <c r="J4" s="7">
        <f t="shared" si="0"/>
        <v>20.660000000000004</v>
      </c>
    </row>
    <row r="5" spans="1:10" x14ac:dyDescent="0.35">
      <c r="A5" s="1">
        <v>3021</v>
      </c>
      <c r="B5" s="1">
        <v>2001</v>
      </c>
      <c r="C5" s="1" t="s">
        <v>85</v>
      </c>
      <c r="D5" s="2">
        <v>45717</v>
      </c>
      <c r="E5" s="1" t="s">
        <v>65</v>
      </c>
      <c r="F5" s="1" t="s">
        <v>141</v>
      </c>
      <c r="G5">
        <v>5</v>
      </c>
      <c r="H5">
        <v>7.1199999999999992</v>
      </c>
      <c r="I5">
        <v>4.26</v>
      </c>
      <c r="J5" s="7">
        <f t="shared" si="0"/>
        <v>2.8599999999999994</v>
      </c>
    </row>
    <row r="6" spans="1:10" x14ac:dyDescent="0.35">
      <c r="A6" s="1">
        <v>3022</v>
      </c>
      <c r="B6" s="1">
        <v>2091</v>
      </c>
      <c r="C6" s="1" t="s">
        <v>86</v>
      </c>
      <c r="D6" s="2">
        <v>45717</v>
      </c>
      <c r="E6" s="1" t="s">
        <v>23</v>
      </c>
      <c r="F6" s="1" t="s">
        <v>142</v>
      </c>
      <c r="G6">
        <v>35</v>
      </c>
      <c r="H6">
        <v>84.37</v>
      </c>
      <c r="I6">
        <v>54.26</v>
      </c>
      <c r="J6" s="7">
        <f t="shared" si="0"/>
        <v>30.110000000000007</v>
      </c>
    </row>
    <row r="7" spans="1:10" x14ac:dyDescent="0.35">
      <c r="A7" s="1">
        <v>3023</v>
      </c>
      <c r="B7" s="1">
        <v>2025</v>
      </c>
      <c r="C7" s="1" t="s">
        <v>87</v>
      </c>
      <c r="D7" s="2">
        <v>45717</v>
      </c>
      <c r="E7" s="1" t="s">
        <v>33</v>
      </c>
      <c r="F7" s="1" t="s">
        <v>143</v>
      </c>
      <c r="G7">
        <v>50</v>
      </c>
      <c r="H7">
        <v>65.02</v>
      </c>
      <c r="I7">
        <v>43.01</v>
      </c>
      <c r="J7" s="7">
        <f t="shared" si="0"/>
        <v>22.009999999999998</v>
      </c>
    </row>
    <row r="8" spans="1:10" x14ac:dyDescent="0.35">
      <c r="A8" s="1">
        <v>3023</v>
      </c>
      <c r="B8" s="1">
        <v>2025</v>
      </c>
      <c r="C8" s="1" t="s">
        <v>87</v>
      </c>
      <c r="D8" s="2">
        <v>45717</v>
      </c>
      <c r="E8" s="1" t="s">
        <v>49</v>
      </c>
      <c r="F8" s="1" t="s">
        <v>144</v>
      </c>
      <c r="G8">
        <v>35</v>
      </c>
      <c r="H8">
        <v>37.120000000000005</v>
      </c>
      <c r="I8">
        <v>22.060000000000002</v>
      </c>
      <c r="J8" s="7">
        <f t="shared" si="0"/>
        <v>15.060000000000002</v>
      </c>
    </row>
    <row r="9" spans="1:10" x14ac:dyDescent="0.35">
      <c r="A9" s="1">
        <v>3023</v>
      </c>
      <c r="B9" s="1">
        <v>2025</v>
      </c>
      <c r="C9" s="1" t="s">
        <v>87</v>
      </c>
      <c r="D9" s="2">
        <v>45717</v>
      </c>
      <c r="E9" s="1" t="s">
        <v>3</v>
      </c>
      <c r="F9" s="1" t="s">
        <v>145</v>
      </c>
      <c r="G9">
        <v>5</v>
      </c>
      <c r="H9">
        <v>2.52</v>
      </c>
      <c r="I9">
        <v>1.56</v>
      </c>
      <c r="J9" s="7">
        <f t="shared" si="0"/>
        <v>0.96</v>
      </c>
    </row>
    <row r="10" spans="1:10" x14ac:dyDescent="0.35">
      <c r="A10" s="1">
        <v>3023</v>
      </c>
      <c r="B10" s="1">
        <v>2025</v>
      </c>
      <c r="C10" s="1" t="s">
        <v>87</v>
      </c>
      <c r="D10" s="2">
        <v>45717</v>
      </c>
      <c r="E10" s="1" t="s">
        <v>53</v>
      </c>
      <c r="F10" s="1" t="s">
        <v>146</v>
      </c>
      <c r="G10">
        <v>35</v>
      </c>
      <c r="H10">
        <v>69.67</v>
      </c>
      <c r="I10">
        <v>43.059999999999995</v>
      </c>
      <c r="J10" s="7">
        <f t="shared" si="0"/>
        <v>26.610000000000007</v>
      </c>
    </row>
    <row r="11" spans="1:10" x14ac:dyDescent="0.35">
      <c r="A11" s="1">
        <v>3024</v>
      </c>
      <c r="B11" s="1">
        <v>2079</v>
      </c>
      <c r="C11" s="1" t="s">
        <v>88</v>
      </c>
      <c r="D11" s="2">
        <v>45717</v>
      </c>
      <c r="E11" s="1" t="s">
        <v>68</v>
      </c>
      <c r="F11" s="1" t="s">
        <v>147</v>
      </c>
      <c r="G11">
        <v>50</v>
      </c>
      <c r="H11">
        <v>34.520000000000003</v>
      </c>
      <c r="I11">
        <v>22.01</v>
      </c>
      <c r="J11" s="7">
        <f t="shared" si="0"/>
        <v>12.510000000000002</v>
      </c>
    </row>
    <row r="12" spans="1:10" x14ac:dyDescent="0.35">
      <c r="A12" s="1">
        <v>3024</v>
      </c>
      <c r="B12" s="1">
        <v>2079</v>
      </c>
      <c r="C12" s="1" t="s">
        <v>88</v>
      </c>
      <c r="D12" s="2">
        <v>45717</v>
      </c>
      <c r="E12" s="1" t="s">
        <v>43</v>
      </c>
      <c r="F12" s="1" t="s">
        <v>148</v>
      </c>
      <c r="G12">
        <v>15</v>
      </c>
      <c r="H12">
        <v>30.769999999999996</v>
      </c>
      <c r="I12">
        <v>18.010000000000002</v>
      </c>
      <c r="J12" s="7">
        <f t="shared" si="0"/>
        <v>12.759999999999994</v>
      </c>
    </row>
    <row r="13" spans="1:10" x14ac:dyDescent="0.35">
      <c r="A13" s="1">
        <v>3024</v>
      </c>
      <c r="B13" s="1">
        <v>2079</v>
      </c>
      <c r="C13" s="1" t="s">
        <v>88</v>
      </c>
      <c r="D13" s="2">
        <v>45717</v>
      </c>
      <c r="E13" s="1" t="s">
        <v>11</v>
      </c>
      <c r="F13" s="1" t="s">
        <v>149</v>
      </c>
      <c r="G13">
        <v>15</v>
      </c>
      <c r="H13">
        <v>26.27</v>
      </c>
      <c r="I13">
        <v>15.46</v>
      </c>
      <c r="J13" s="7">
        <f t="shared" si="0"/>
        <v>10.809999999999999</v>
      </c>
    </row>
    <row r="14" spans="1:10" x14ac:dyDescent="0.35">
      <c r="A14" s="1">
        <v>3024</v>
      </c>
      <c r="B14" s="1">
        <v>2079</v>
      </c>
      <c r="C14" s="1" t="s">
        <v>88</v>
      </c>
      <c r="D14" s="2">
        <v>45717</v>
      </c>
      <c r="E14" s="1" t="s">
        <v>20</v>
      </c>
      <c r="F14" s="1" t="s">
        <v>150</v>
      </c>
      <c r="G14">
        <v>25</v>
      </c>
      <c r="H14">
        <v>54.27</v>
      </c>
      <c r="I14">
        <v>33.01</v>
      </c>
      <c r="J14" s="7">
        <f t="shared" si="0"/>
        <v>21.260000000000005</v>
      </c>
    </row>
    <row r="15" spans="1:10" x14ac:dyDescent="0.35">
      <c r="A15" s="1">
        <v>3024</v>
      </c>
      <c r="B15" s="1">
        <v>2079</v>
      </c>
      <c r="C15" s="1" t="s">
        <v>88</v>
      </c>
      <c r="D15" s="2">
        <v>45717</v>
      </c>
      <c r="E15" s="1" t="s">
        <v>3</v>
      </c>
      <c r="F15" s="1" t="s">
        <v>145</v>
      </c>
      <c r="G15">
        <v>35</v>
      </c>
      <c r="H15">
        <v>17.52</v>
      </c>
      <c r="I15">
        <v>10.86</v>
      </c>
      <c r="J15" s="7">
        <f t="shared" si="0"/>
        <v>6.66</v>
      </c>
    </row>
    <row r="16" spans="1:10" x14ac:dyDescent="0.35">
      <c r="A16" s="1">
        <v>3025</v>
      </c>
      <c r="B16" s="1">
        <v>2099</v>
      </c>
      <c r="C16" s="1" t="s">
        <v>89</v>
      </c>
      <c r="D16" s="2">
        <v>45717</v>
      </c>
      <c r="E16" s="1" t="s">
        <v>68</v>
      </c>
      <c r="F16" s="1" t="s">
        <v>147</v>
      </c>
      <c r="G16">
        <v>30</v>
      </c>
      <c r="H16">
        <v>20.72</v>
      </c>
      <c r="I16">
        <v>13.209999999999999</v>
      </c>
      <c r="J16" s="7">
        <f t="shared" si="0"/>
        <v>7.51</v>
      </c>
    </row>
    <row r="17" spans="1:10" x14ac:dyDescent="0.35">
      <c r="A17" s="1">
        <v>3025</v>
      </c>
      <c r="B17" s="1">
        <v>2099</v>
      </c>
      <c r="C17" s="1" t="s">
        <v>89</v>
      </c>
      <c r="D17" s="2">
        <v>45717</v>
      </c>
      <c r="E17" s="1" t="s">
        <v>21</v>
      </c>
      <c r="F17" s="1" t="s">
        <v>151</v>
      </c>
      <c r="G17">
        <v>25</v>
      </c>
      <c r="H17">
        <v>60.27</v>
      </c>
      <c r="I17">
        <v>38.01</v>
      </c>
      <c r="J17" s="7">
        <f t="shared" si="0"/>
        <v>22.260000000000005</v>
      </c>
    </row>
    <row r="18" spans="1:10" x14ac:dyDescent="0.35">
      <c r="A18" s="1">
        <v>3025</v>
      </c>
      <c r="B18" s="1">
        <v>2099</v>
      </c>
      <c r="C18" s="1" t="s">
        <v>89</v>
      </c>
      <c r="D18" s="2">
        <v>45717</v>
      </c>
      <c r="E18" s="1" t="s">
        <v>46</v>
      </c>
      <c r="F18" s="1" t="s">
        <v>152</v>
      </c>
      <c r="G18">
        <v>5</v>
      </c>
      <c r="H18">
        <v>5.919999999999999</v>
      </c>
      <c r="I18">
        <v>3.6099999999999994</v>
      </c>
      <c r="J18" s="7">
        <f t="shared" si="0"/>
        <v>2.3099999999999996</v>
      </c>
    </row>
    <row r="19" spans="1:10" x14ac:dyDescent="0.35">
      <c r="A19" s="1">
        <v>3025</v>
      </c>
      <c r="B19" s="1">
        <v>2099</v>
      </c>
      <c r="C19" s="1" t="s">
        <v>89</v>
      </c>
      <c r="D19" s="2">
        <v>45717</v>
      </c>
      <c r="E19" s="1" t="s">
        <v>3</v>
      </c>
      <c r="F19" s="1" t="s">
        <v>145</v>
      </c>
      <c r="G19">
        <v>45</v>
      </c>
      <c r="H19">
        <v>22.52</v>
      </c>
      <c r="I19">
        <v>13.959999999999999</v>
      </c>
      <c r="J19" s="7">
        <f t="shared" si="0"/>
        <v>8.56</v>
      </c>
    </row>
    <row r="20" spans="1:10" x14ac:dyDescent="0.35">
      <c r="A20" s="1">
        <v>3025</v>
      </c>
      <c r="B20" s="1">
        <v>2099</v>
      </c>
      <c r="C20" s="1" t="s">
        <v>89</v>
      </c>
      <c r="D20" s="2">
        <v>45717</v>
      </c>
      <c r="E20" s="1" t="s">
        <v>36</v>
      </c>
      <c r="F20" s="1" t="s">
        <v>153</v>
      </c>
      <c r="G20">
        <v>5</v>
      </c>
      <c r="H20">
        <v>12.32</v>
      </c>
      <c r="I20">
        <v>7.41</v>
      </c>
      <c r="J20" s="7">
        <f t="shared" si="0"/>
        <v>4.91</v>
      </c>
    </row>
    <row r="21" spans="1:10" x14ac:dyDescent="0.35">
      <c r="A21" s="1">
        <v>3025</v>
      </c>
      <c r="B21" s="1">
        <v>2099</v>
      </c>
      <c r="C21" s="1" t="s">
        <v>89</v>
      </c>
      <c r="D21" s="2">
        <v>45717</v>
      </c>
      <c r="E21" s="1" t="s">
        <v>48</v>
      </c>
      <c r="F21" s="1" t="s">
        <v>154</v>
      </c>
      <c r="G21">
        <v>50</v>
      </c>
      <c r="H21">
        <v>37.520000000000003</v>
      </c>
      <c r="I21">
        <v>24.51</v>
      </c>
      <c r="J21" s="7">
        <f t="shared" si="0"/>
        <v>13.010000000000002</v>
      </c>
    </row>
    <row r="22" spans="1:10" x14ac:dyDescent="0.35">
      <c r="A22" s="1">
        <v>3026</v>
      </c>
      <c r="B22" s="1">
        <v>2088</v>
      </c>
      <c r="C22" s="1" t="s">
        <v>90</v>
      </c>
      <c r="D22" s="2">
        <v>45717</v>
      </c>
      <c r="E22" s="1" t="s">
        <v>10</v>
      </c>
      <c r="F22" s="1" t="s">
        <v>155</v>
      </c>
      <c r="G22">
        <v>45</v>
      </c>
      <c r="H22">
        <v>78.77</v>
      </c>
      <c r="I22">
        <v>49.96</v>
      </c>
      <c r="J22" s="7">
        <f t="shared" si="0"/>
        <v>28.809999999999995</v>
      </c>
    </row>
    <row r="23" spans="1:10" x14ac:dyDescent="0.35">
      <c r="A23" s="1">
        <v>3026</v>
      </c>
      <c r="B23" s="1">
        <v>2088</v>
      </c>
      <c r="C23" s="1" t="s">
        <v>90</v>
      </c>
      <c r="D23" s="2">
        <v>45717</v>
      </c>
      <c r="E23" s="1" t="s">
        <v>48</v>
      </c>
      <c r="F23" s="1" t="s">
        <v>154</v>
      </c>
      <c r="G23">
        <v>35</v>
      </c>
      <c r="H23">
        <v>26.27</v>
      </c>
      <c r="I23">
        <v>17.16</v>
      </c>
      <c r="J23" s="7">
        <f t="shared" si="0"/>
        <v>9.11</v>
      </c>
    </row>
    <row r="24" spans="1:10" x14ac:dyDescent="0.35">
      <c r="A24" s="1">
        <v>3026</v>
      </c>
      <c r="B24" s="1">
        <v>2088</v>
      </c>
      <c r="C24" s="1" t="s">
        <v>90</v>
      </c>
      <c r="D24" s="2">
        <v>45717</v>
      </c>
      <c r="E24" s="1" t="s">
        <v>38</v>
      </c>
      <c r="F24" s="1" t="s">
        <v>156</v>
      </c>
      <c r="G24">
        <v>45</v>
      </c>
      <c r="H24">
        <v>25.669999999999998</v>
      </c>
      <c r="I24">
        <v>17.110000000000003</v>
      </c>
      <c r="J24" s="7">
        <f t="shared" si="0"/>
        <v>8.5599999999999952</v>
      </c>
    </row>
    <row r="25" spans="1:10" x14ac:dyDescent="0.35">
      <c r="A25" s="1">
        <v>3026</v>
      </c>
      <c r="B25" s="1">
        <v>2088</v>
      </c>
      <c r="C25" s="1" t="s">
        <v>90</v>
      </c>
      <c r="D25" s="2">
        <v>45717</v>
      </c>
      <c r="E25" s="1" t="s">
        <v>23</v>
      </c>
      <c r="F25" s="1" t="s">
        <v>142</v>
      </c>
      <c r="G25">
        <v>50</v>
      </c>
      <c r="H25">
        <v>120.52</v>
      </c>
      <c r="I25">
        <v>77.510000000000005</v>
      </c>
      <c r="J25" s="7">
        <f t="shared" si="0"/>
        <v>43.009999999999991</v>
      </c>
    </row>
    <row r="26" spans="1:10" x14ac:dyDescent="0.35">
      <c r="A26" s="1">
        <v>3026</v>
      </c>
      <c r="B26" s="1">
        <v>2088</v>
      </c>
      <c r="C26" s="1" t="s">
        <v>90</v>
      </c>
      <c r="D26" s="2">
        <v>45717</v>
      </c>
      <c r="E26" s="1" t="s">
        <v>29</v>
      </c>
      <c r="F26" s="1" t="s">
        <v>157</v>
      </c>
      <c r="G26">
        <v>50</v>
      </c>
      <c r="H26">
        <v>44.52</v>
      </c>
      <c r="I26">
        <v>26.01</v>
      </c>
      <c r="J26" s="7">
        <f t="shared" si="0"/>
        <v>18.510000000000002</v>
      </c>
    </row>
    <row r="27" spans="1:10" x14ac:dyDescent="0.35">
      <c r="A27" s="1">
        <v>3027</v>
      </c>
      <c r="B27" s="1">
        <v>2087</v>
      </c>
      <c r="C27" s="1" t="s">
        <v>91</v>
      </c>
      <c r="D27" s="2">
        <v>45717</v>
      </c>
      <c r="E27" s="1" t="s">
        <v>41</v>
      </c>
      <c r="F27" s="1" t="s">
        <v>158</v>
      </c>
      <c r="G27">
        <v>10</v>
      </c>
      <c r="H27">
        <v>9.52</v>
      </c>
      <c r="I27">
        <v>6.1099999999999994</v>
      </c>
      <c r="J27" s="7">
        <f t="shared" si="0"/>
        <v>3.41</v>
      </c>
    </row>
    <row r="28" spans="1:10" x14ac:dyDescent="0.35">
      <c r="A28" s="1">
        <v>3028</v>
      </c>
      <c r="B28" s="1">
        <v>2086</v>
      </c>
      <c r="C28" s="1" t="s">
        <v>92</v>
      </c>
      <c r="D28" s="2">
        <v>45717</v>
      </c>
      <c r="E28" s="1" t="s">
        <v>48</v>
      </c>
      <c r="F28" s="1" t="s">
        <v>154</v>
      </c>
      <c r="G28">
        <v>15</v>
      </c>
      <c r="H28">
        <v>11.27</v>
      </c>
      <c r="I28">
        <v>7.3599999999999994</v>
      </c>
      <c r="J28" s="7">
        <f t="shared" si="0"/>
        <v>3.91</v>
      </c>
    </row>
    <row r="29" spans="1:10" x14ac:dyDescent="0.35">
      <c r="A29" s="1">
        <v>3028</v>
      </c>
      <c r="B29" s="1">
        <v>2086</v>
      </c>
      <c r="C29" s="1" t="s">
        <v>92</v>
      </c>
      <c r="D29" s="2">
        <v>45717</v>
      </c>
      <c r="E29" s="1" t="s">
        <v>13</v>
      </c>
      <c r="F29" s="1" t="s">
        <v>159</v>
      </c>
      <c r="G29">
        <v>45</v>
      </c>
      <c r="H29">
        <v>108.47</v>
      </c>
      <c r="I29">
        <v>69.31</v>
      </c>
      <c r="J29" s="7">
        <f t="shared" si="0"/>
        <v>39.159999999999997</v>
      </c>
    </row>
    <row r="30" spans="1:10" x14ac:dyDescent="0.35">
      <c r="A30" s="1">
        <v>3028</v>
      </c>
      <c r="B30" s="1">
        <v>2086</v>
      </c>
      <c r="C30" s="1" t="s">
        <v>92</v>
      </c>
      <c r="D30" s="2">
        <v>45717</v>
      </c>
      <c r="E30" s="1" t="s">
        <v>38</v>
      </c>
      <c r="F30" s="1" t="s">
        <v>156</v>
      </c>
      <c r="G30">
        <v>5</v>
      </c>
      <c r="H30">
        <v>2.8699999999999997</v>
      </c>
      <c r="I30">
        <v>1.91</v>
      </c>
      <c r="J30" s="7">
        <f t="shared" si="0"/>
        <v>0.95999999999999974</v>
      </c>
    </row>
    <row r="31" spans="1:10" x14ac:dyDescent="0.35">
      <c r="A31" s="1">
        <v>3028</v>
      </c>
      <c r="B31" s="1">
        <v>2086</v>
      </c>
      <c r="C31" s="1" t="s">
        <v>92</v>
      </c>
      <c r="D31" s="2">
        <v>45717</v>
      </c>
      <c r="E31" s="1" t="s">
        <v>3</v>
      </c>
      <c r="F31" s="1" t="s">
        <v>145</v>
      </c>
      <c r="G31">
        <v>40</v>
      </c>
      <c r="H31">
        <v>20.02</v>
      </c>
      <c r="I31">
        <v>12.41</v>
      </c>
      <c r="J31" s="7">
        <f t="shared" si="0"/>
        <v>7.6099999999999994</v>
      </c>
    </row>
    <row r="32" spans="1:10" x14ac:dyDescent="0.35">
      <c r="A32" s="1">
        <v>3028</v>
      </c>
      <c r="B32" s="1">
        <v>2086</v>
      </c>
      <c r="C32" s="1" t="s">
        <v>92</v>
      </c>
      <c r="D32" s="2">
        <v>45717</v>
      </c>
      <c r="E32" s="1" t="s">
        <v>43</v>
      </c>
      <c r="F32" s="1" t="s">
        <v>148</v>
      </c>
      <c r="G32">
        <v>35</v>
      </c>
      <c r="H32">
        <v>71.77</v>
      </c>
      <c r="I32">
        <v>42.01</v>
      </c>
      <c r="J32" s="7">
        <f t="shared" si="0"/>
        <v>29.759999999999998</v>
      </c>
    </row>
    <row r="33" spans="1:10" x14ac:dyDescent="0.35">
      <c r="A33" s="1">
        <v>3028</v>
      </c>
      <c r="B33" s="1">
        <v>2086</v>
      </c>
      <c r="C33" s="1" t="s">
        <v>92</v>
      </c>
      <c r="D33" s="2">
        <v>45717</v>
      </c>
      <c r="E33" s="1" t="s">
        <v>1</v>
      </c>
      <c r="F33" s="1" t="s">
        <v>160</v>
      </c>
      <c r="G33">
        <v>25</v>
      </c>
      <c r="H33">
        <v>70.02</v>
      </c>
      <c r="I33">
        <v>44.01</v>
      </c>
      <c r="J33" s="7">
        <f t="shared" si="0"/>
        <v>26.009999999999998</v>
      </c>
    </row>
    <row r="34" spans="1:10" x14ac:dyDescent="0.35">
      <c r="A34" s="1">
        <v>3029</v>
      </c>
      <c r="B34" s="1">
        <v>2053</v>
      </c>
      <c r="C34" s="1" t="s">
        <v>93</v>
      </c>
      <c r="D34" s="2">
        <v>45717</v>
      </c>
      <c r="E34" s="1" t="s">
        <v>7</v>
      </c>
      <c r="F34" s="1" t="s">
        <v>161</v>
      </c>
      <c r="G34">
        <v>15</v>
      </c>
      <c r="H34">
        <v>15.02</v>
      </c>
      <c r="I34">
        <v>9.31</v>
      </c>
      <c r="J34" s="7">
        <f t="shared" si="0"/>
        <v>5.7099999999999991</v>
      </c>
    </row>
    <row r="35" spans="1:10" x14ac:dyDescent="0.35">
      <c r="A35" s="1">
        <v>3030</v>
      </c>
      <c r="B35" s="1">
        <v>2063</v>
      </c>
      <c r="C35" s="1" t="s">
        <v>94</v>
      </c>
      <c r="D35" s="2">
        <v>45717</v>
      </c>
      <c r="E35" s="1" t="s">
        <v>0</v>
      </c>
      <c r="F35" s="1" t="s">
        <v>138</v>
      </c>
      <c r="G35">
        <v>45</v>
      </c>
      <c r="H35">
        <v>76.52</v>
      </c>
      <c r="I35">
        <v>49.06</v>
      </c>
      <c r="J35" s="7">
        <f t="shared" si="0"/>
        <v>27.459999999999994</v>
      </c>
    </row>
    <row r="36" spans="1:10" x14ac:dyDescent="0.35">
      <c r="A36" s="1">
        <v>3030</v>
      </c>
      <c r="B36" s="1">
        <v>2063</v>
      </c>
      <c r="C36" s="1" t="s">
        <v>94</v>
      </c>
      <c r="D36" s="2">
        <v>45717</v>
      </c>
      <c r="E36" s="1" t="s">
        <v>4</v>
      </c>
      <c r="F36" s="1" t="s">
        <v>162</v>
      </c>
      <c r="G36">
        <v>40</v>
      </c>
      <c r="H36">
        <v>80.02</v>
      </c>
      <c r="I36">
        <v>46.809999999999995</v>
      </c>
      <c r="J36" s="7">
        <f t="shared" si="0"/>
        <v>33.21</v>
      </c>
    </row>
    <row r="37" spans="1:10" x14ac:dyDescent="0.35">
      <c r="A37" s="1">
        <v>3030</v>
      </c>
      <c r="B37" s="1">
        <v>2063</v>
      </c>
      <c r="C37" s="1" t="s">
        <v>94</v>
      </c>
      <c r="D37" s="2">
        <v>45717</v>
      </c>
      <c r="E37" s="1" t="s">
        <v>19</v>
      </c>
      <c r="F37" s="1" t="s">
        <v>163</v>
      </c>
      <c r="G37">
        <v>5</v>
      </c>
      <c r="H37">
        <v>8.1699999999999982</v>
      </c>
      <c r="I37">
        <v>4.91</v>
      </c>
      <c r="J37" s="7">
        <f t="shared" si="0"/>
        <v>3.259999999999998</v>
      </c>
    </row>
    <row r="38" spans="1:10" x14ac:dyDescent="0.35">
      <c r="A38" s="1">
        <v>3031</v>
      </c>
      <c r="B38" s="1">
        <v>2041</v>
      </c>
      <c r="C38" s="1" t="s">
        <v>95</v>
      </c>
      <c r="D38" s="2">
        <v>45717</v>
      </c>
      <c r="E38" s="1" t="s">
        <v>39</v>
      </c>
      <c r="F38" s="1" t="s">
        <v>164</v>
      </c>
      <c r="G38">
        <v>40</v>
      </c>
      <c r="H38">
        <v>80.419999999999987</v>
      </c>
      <c r="I38">
        <v>50.01</v>
      </c>
      <c r="J38" s="7">
        <f t="shared" si="0"/>
        <v>30.409999999999989</v>
      </c>
    </row>
    <row r="39" spans="1:10" x14ac:dyDescent="0.35">
      <c r="A39" s="1">
        <v>3031</v>
      </c>
      <c r="B39" s="1">
        <v>2041</v>
      </c>
      <c r="C39" s="1" t="s">
        <v>95</v>
      </c>
      <c r="D39" s="2">
        <v>45717</v>
      </c>
      <c r="E39" s="1" t="s">
        <v>61</v>
      </c>
      <c r="F39" s="1" t="s">
        <v>165</v>
      </c>
      <c r="G39">
        <v>40</v>
      </c>
      <c r="H39">
        <v>40.42</v>
      </c>
      <c r="I39">
        <v>23.61</v>
      </c>
      <c r="J39" s="7">
        <f t="shared" si="0"/>
        <v>16.810000000000002</v>
      </c>
    </row>
    <row r="40" spans="1:10" x14ac:dyDescent="0.35">
      <c r="A40" s="1">
        <v>3032</v>
      </c>
      <c r="B40" s="1">
        <v>2068</v>
      </c>
      <c r="C40" s="1" t="s">
        <v>96</v>
      </c>
      <c r="D40" s="2">
        <v>45717</v>
      </c>
      <c r="E40" s="1" t="s">
        <v>74</v>
      </c>
      <c r="F40" s="1" t="s">
        <v>166</v>
      </c>
      <c r="G40">
        <v>20</v>
      </c>
      <c r="H40">
        <v>43.82</v>
      </c>
      <c r="I40">
        <v>27.61</v>
      </c>
      <c r="J40" s="7">
        <f t="shared" si="0"/>
        <v>16.21</v>
      </c>
    </row>
    <row r="41" spans="1:10" x14ac:dyDescent="0.35">
      <c r="A41" s="1">
        <v>3032</v>
      </c>
      <c r="B41" s="1">
        <v>2068</v>
      </c>
      <c r="C41" s="1" t="s">
        <v>96</v>
      </c>
      <c r="D41" s="2">
        <v>45717</v>
      </c>
      <c r="E41" s="1" t="s">
        <v>25</v>
      </c>
      <c r="F41" s="1" t="s">
        <v>167</v>
      </c>
      <c r="G41">
        <v>40</v>
      </c>
      <c r="H41">
        <v>50.02</v>
      </c>
      <c r="I41">
        <v>29.610000000000003</v>
      </c>
      <c r="J41" s="7">
        <f t="shared" si="0"/>
        <v>20.41</v>
      </c>
    </row>
    <row r="42" spans="1:10" x14ac:dyDescent="0.35">
      <c r="A42" s="1">
        <v>3033</v>
      </c>
      <c r="B42" s="1">
        <v>2051</v>
      </c>
      <c r="C42" s="1" t="s">
        <v>97</v>
      </c>
      <c r="D42" s="2">
        <v>45717</v>
      </c>
      <c r="E42" s="1" t="s">
        <v>58</v>
      </c>
      <c r="F42" s="1" t="s">
        <v>168</v>
      </c>
      <c r="G42">
        <v>20</v>
      </c>
      <c r="H42">
        <v>42.02</v>
      </c>
      <c r="I42">
        <v>24.810000000000002</v>
      </c>
      <c r="J42" s="7">
        <f t="shared" si="0"/>
        <v>17.21</v>
      </c>
    </row>
    <row r="43" spans="1:10" x14ac:dyDescent="0.35">
      <c r="A43" s="1">
        <v>3033</v>
      </c>
      <c r="B43" s="1">
        <v>2051</v>
      </c>
      <c r="C43" s="1" t="s">
        <v>97</v>
      </c>
      <c r="D43" s="2">
        <v>45717</v>
      </c>
      <c r="E43" s="1" t="s">
        <v>66</v>
      </c>
      <c r="F43" s="1" t="s">
        <v>169</v>
      </c>
      <c r="G43">
        <v>35</v>
      </c>
      <c r="H43">
        <v>39.220000000000006</v>
      </c>
      <c r="I43">
        <v>23.110000000000003</v>
      </c>
      <c r="J43" s="7">
        <f t="shared" si="0"/>
        <v>16.110000000000003</v>
      </c>
    </row>
    <row r="44" spans="1:10" x14ac:dyDescent="0.35">
      <c r="A44" s="1">
        <v>3034</v>
      </c>
      <c r="B44" s="1">
        <v>2077</v>
      </c>
      <c r="C44" s="1" t="s">
        <v>98</v>
      </c>
      <c r="D44" s="2">
        <v>45717</v>
      </c>
      <c r="E44" s="1" t="s">
        <v>5</v>
      </c>
      <c r="F44" s="1" t="s">
        <v>170</v>
      </c>
      <c r="G44">
        <v>40</v>
      </c>
      <c r="H44">
        <v>80.02</v>
      </c>
      <c r="I44">
        <v>51.61</v>
      </c>
      <c r="J44" s="7">
        <f t="shared" si="0"/>
        <v>28.409999999999997</v>
      </c>
    </row>
    <row r="45" spans="1:10" x14ac:dyDescent="0.35">
      <c r="A45" s="1">
        <v>3035</v>
      </c>
      <c r="B45" s="1">
        <v>2051</v>
      </c>
      <c r="C45" s="1" t="s">
        <v>99</v>
      </c>
      <c r="D45" s="2">
        <v>45717</v>
      </c>
      <c r="E45" s="1" t="s">
        <v>15</v>
      </c>
      <c r="F45" s="1" t="s">
        <v>171</v>
      </c>
      <c r="G45">
        <v>50</v>
      </c>
      <c r="H45">
        <v>91.02</v>
      </c>
      <c r="I45">
        <v>54.510000000000005</v>
      </c>
      <c r="J45" s="7">
        <f t="shared" si="0"/>
        <v>36.509999999999991</v>
      </c>
    </row>
    <row r="46" spans="1:10" x14ac:dyDescent="0.35">
      <c r="A46" s="1">
        <v>3036</v>
      </c>
      <c r="B46" s="1">
        <v>2044</v>
      </c>
      <c r="C46" s="1" t="s">
        <v>100</v>
      </c>
      <c r="D46" s="2">
        <v>45717</v>
      </c>
      <c r="E46" s="1" t="s">
        <v>14</v>
      </c>
      <c r="F46" s="1" t="s">
        <v>172</v>
      </c>
      <c r="G46">
        <v>45</v>
      </c>
      <c r="H46">
        <v>45.470000000000006</v>
      </c>
      <c r="I46">
        <v>27.46</v>
      </c>
      <c r="J46" s="7">
        <f t="shared" si="0"/>
        <v>18.010000000000005</v>
      </c>
    </row>
    <row r="47" spans="1:10" x14ac:dyDescent="0.35">
      <c r="A47" s="1">
        <v>3037</v>
      </c>
      <c r="B47" s="1">
        <v>2073</v>
      </c>
      <c r="C47" s="1" t="s">
        <v>101</v>
      </c>
      <c r="D47" s="2">
        <v>45717</v>
      </c>
      <c r="E47" s="1" t="s">
        <v>25</v>
      </c>
      <c r="F47" s="1" t="s">
        <v>167</v>
      </c>
      <c r="G47">
        <v>45</v>
      </c>
      <c r="H47">
        <v>56.27</v>
      </c>
      <c r="I47">
        <v>33.309999999999995</v>
      </c>
      <c r="J47" s="7">
        <f t="shared" si="0"/>
        <v>22.960000000000008</v>
      </c>
    </row>
    <row r="48" spans="1:10" x14ac:dyDescent="0.35">
      <c r="A48" s="1">
        <v>3038</v>
      </c>
      <c r="B48" s="1">
        <v>2064</v>
      </c>
      <c r="C48" s="1" t="s">
        <v>102</v>
      </c>
      <c r="D48" s="2">
        <v>45717</v>
      </c>
      <c r="E48" s="1" t="s">
        <v>48</v>
      </c>
      <c r="F48" s="1" t="s">
        <v>154</v>
      </c>
      <c r="G48">
        <v>50</v>
      </c>
      <c r="H48">
        <v>37.520000000000003</v>
      </c>
      <c r="I48">
        <v>24.51</v>
      </c>
      <c r="J48" s="7">
        <f t="shared" si="0"/>
        <v>13.010000000000002</v>
      </c>
    </row>
    <row r="49" spans="1:10" x14ac:dyDescent="0.35">
      <c r="A49" s="1">
        <v>3039</v>
      </c>
      <c r="B49" s="1">
        <v>2060</v>
      </c>
      <c r="C49" s="1" t="s">
        <v>103</v>
      </c>
      <c r="D49" s="2">
        <v>45718</v>
      </c>
      <c r="E49" s="1" t="s">
        <v>55</v>
      </c>
      <c r="F49" s="1" t="s">
        <v>173</v>
      </c>
      <c r="G49">
        <v>5</v>
      </c>
      <c r="H49">
        <v>10.32</v>
      </c>
      <c r="I49">
        <v>6.21</v>
      </c>
      <c r="J49" s="7">
        <f t="shared" si="0"/>
        <v>4.1100000000000003</v>
      </c>
    </row>
    <row r="50" spans="1:10" x14ac:dyDescent="0.35">
      <c r="A50" s="1">
        <v>3039</v>
      </c>
      <c r="B50" s="1">
        <v>2060</v>
      </c>
      <c r="C50" s="1" t="s">
        <v>103</v>
      </c>
      <c r="D50" s="2">
        <v>45718</v>
      </c>
      <c r="E50" s="1" t="s">
        <v>19</v>
      </c>
      <c r="F50" s="1" t="s">
        <v>163</v>
      </c>
      <c r="G50">
        <v>20</v>
      </c>
      <c r="H50">
        <v>32.619999999999997</v>
      </c>
      <c r="I50">
        <v>19.610000000000003</v>
      </c>
      <c r="J50" s="7">
        <f t="shared" si="0"/>
        <v>13.009999999999994</v>
      </c>
    </row>
    <row r="51" spans="1:10" x14ac:dyDescent="0.35">
      <c r="A51" s="1">
        <v>3039</v>
      </c>
      <c r="B51" s="1">
        <v>2060</v>
      </c>
      <c r="C51" s="1" t="s">
        <v>103</v>
      </c>
      <c r="D51" s="2">
        <v>45718</v>
      </c>
      <c r="E51" s="1" t="s">
        <v>9</v>
      </c>
      <c r="F51" s="1" t="s">
        <v>174</v>
      </c>
      <c r="G51">
        <v>25</v>
      </c>
      <c r="H51">
        <v>62.52</v>
      </c>
      <c r="I51">
        <v>39.01</v>
      </c>
      <c r="J51" s="7">
        <f t="shared" si="0"/>
        <v>23.510000000000005</v>
      </c>
    </row>
    <row r="52" spans="1:10" x14ac:dyDescent="0.35">
      <c r="A52" s="1">
        <v>3039</v>
      </c>
      <c r="B52" s="1">
        <v>2060</v>
      </c>
      <c r="C52" s="1" t="s">
        <v>103</v>
      </c>
      <c r="D52" s="2">
        <v>45718</v>
      </c>
      <c r="E52" s="1" t="s">
        <v>48</v>
      </c>
      <c r="F52" s="1" t="s">
        <v>154</v>
      </c>
      <c r="G52">
        <v>15</v>
      </c>
      <c r="H52">
        <v>11.27</v>
      </c>
      <c r="I52">
        <v>7.3599999999999994</v>
      </c>
      <c r="J52" s="7">
        <f t="shared" si="0"/>
        <v>3.91</v>
      </c>
    </row>
    <row r="53" spans="1:10" x14ac:dyDescent="0.35">
      <c r="A53" s="1">
        <v>3039</v>
      </c>
      <c r="B53" s="1">
        <v>2060</v>
      </c>
      <c r="C53" s="1" t="s">
        <v>103</v>
      </c>
      <c r="D53" s="2">
        <v>45718</v>
      </c>
      <c r="E53" s="1" t="s">
        <v>48</v>
      </c>
      <c r="F53" s="1" t="s">
        <v>154</v>
      </c>
      <c r="G53">
        <v>10</v>
      </c>
      <c r="H53">
        <v>7.52</v>
      </c>
      <c r="I53">
        <v>4.91</v>
      </c>
      <c r="J53" s="7">
        <f t="shared" si="0"/>
        <v>2.6099999999999994</v>
      </c>
    </row>
    <row r="54" spans="1:10" x14ac:dyDescent="0.35">
      <c r="A54" s="1">
        <v>3039</v>
      </c>
      <c r="B54" s="1">
        <v>2060</v>
      </c>
      <c r="C54" s="1" t="s">
        <v>103</v>
      </c>
      <c r="D54" s="2">
        <v>45718</v>
      </c>
      <c r="E54" s="1" t="s">
        <v>16</v>
      </c>
      <c r="F54" s="1" t="s">
        <v>175</v>
      </c>
      <c r="G54">
        <v>40</v>
      </c>
      <c r="H54">
        <v>40.42</v>
      </c>
      <c r="I54">
        <v>24.810000000000002</v>
      </c>
      <c r="J54" s="7">
        <f t="shared" si="0"/>
        <v>15.61</v>
      </c>
    </row>
    <row r="55" spans="1:10" x14ac:dyDescent="0.35">
      <c r="A55" s="1">
        <v>3039</v>
      </c>
      <c r="B55" s="1">
        <v>2060</v>
      </c>
      <c r="C55" s="1" t="s">
        <v>103</v>
      </c>
      <c r="D55" s="2">
        <v>45718</v>
      </c>
      <c r="E55" s="1" t="s">
        <v>75</v>
      </c>
      <c r="F55" s="1" t="s">
        <v>176</v>
      </c>
      <c r="G55">
        <v>15</v>
      </c>
      <c r="H55">
        <v>16.82</v>
      </c>
      <c r="I55">
        <v>10.36</v>
      </c>
      <c r="J55" s="7">
        <f t="shared" si="0"/>
        <v>6.4600000000000009</v>
      </c>
    </row>
    <row r="56" spans="1:10" x14ac:dyDescent="0.35">
      <c r="A56" s="1">
        <v>3039</v>
      </c>
      <c r="B56" s="1">
        <v>2060</v>
      </c>
      <c r="C56" s="1" t="s">
        <v>103</v>
      </c>
      <c r="D56" s="2">
        <v>45718</v>
      </c>
      <c r="E56" s="1" t="s">
        <v>48</v>
      </c>
      <c r="F56" s="1" t="s">
        <v>154</v>
      </c>
      <c r="G56">
        <v>25</v>
      </c>
      <c r="H56">
        <v>18.77</v>
      </c>
      <c r="I56">
        <v>12.26</v>
      </c>
      <c r="J56" s="7">
        <f t="shared" si="0"/>
        <v>6.51</v>
      </c>
    </row>
    <row r="57" spans="1:10" x14ac:dyDescent="0.35">
      <c r="A57" s="1">
        <v>3039</v>
      </c>
      <c r="B57" s="1">
        <v>2060</v>
      </c>
      <c r="C57" s="1" t="s">
        <v>103</v>
      </c>
      <c r="D57" s="2">
        <v>45718</v>
      </c>
      <c r="E57" s="1" t="s">
        <v>58</v>
      </c>
      <c r="F57" s="1" t="s">
        <v>168</v>
      </c>
      <c r="G57">
        <v>50</v>
      </c>
      <c r="H57">
        <v>105.02</v>
      </c>
      <c r="I57">
        <v>62.01</v>
      </c>
      <c r="J57" s="7">
        <f t="shared" si="0"/>
        <v>43.01</v>
      </c>
    </row>
    <row r="58" spans="1:10" x14ac:dyDescent="0.35">
      <c r="A58" s="1">
        <v>3040</v>
      </c>
      <c r="B58" s="1">
        <v>2074</v>
      </c>
      <c r="C58" s="1" t="s">
        <v>104</v>
      </c>
      <c r="D58" s="2">
        <v>45718</v>
      </c>
      <c r="E58" s="1" t="s">
        <v>71</v>
      </c>
      <c r="F58" s="1" t="s">
        <v>177</v>
      </c>
      <c r="G58">
        <v>20</v>
      </c>
      <c r="H58">
        <v>18.819999999999997</v>
      </c>
      <c r="I58">
        <v>11.809999999999999</v>
      </c>
      <c r="J58" s="7">
        <f t="shared" si="0"/>
        <v>7.009999999999998</v>
      </c>
    </row>
    <row r="59" spans="1:10" x14ac:dyDescent="0.35">
      <c r="A59" s="1">
        <v>3040</v>
      </c>
      <c r="B59" s="1">
        <v>2074</v>
      </c>
      <c r="C59" s="1" t="s">
        <v>104</v>
      </c>
      <c r="D59" s="2">
        <v>45718</v>
      </c>
      <c r="E59" s="1" t="s">
        <v>0</v>
      </c>
      <c r="F59" s="1" t="s">
        <v>138</v>
      </c>
      <c r="G59">
        <v>15</v>
      </c>
      <c r="H59">
        <v>25.52</v>
      </c>
      <c r="I59">
        <v>16.360000000000003</v>
      </c>
      <c r="J59" s="7">
        <f t="shared" si="0"/>
        <v>9.1599999999999966</v>
      </c>
    </row>
    <row r="60" spans="1:10" x14ac:dyDescent="0.35">
      <c r="A60" s="1">
        <v>3040</v>
      </c>
      <c r="B60" s="1">
        <v>2074</v>
      </c>
      <c r="C60" s="1" t="s">
        <v>104</v>
      </c>
      <c r="D60" s="2">
        <v>45718</v>
      </c>
      <c r="E60" s="1" t="s">
        <v>33</v>
      </c>
      <c r="F60" s="1" t="s">
        <v>143</v>
      </c>
      <c r="G60">
        <v>50</v>
      </c>
      <c r="H60">
        <v>65.02</v>
      </c>
      <c r="I60">
        <v>43.01</v>
      </c>
      <c r="J60" s="7">
        <f t="shared" si="0"/>
        <v>22.009999999999998</v>
      </c>
    </row>
    <row r="61" spans="1:10" x14ac:dyDescent="0.35">
      <c r="A61" s="1">
        <v>3041</v>
      </c>
      <c r="B61" s="1">
        <v>2066</v>
      </c>
      <c r="C61" s="1" t="s">
        <v>105</v>
      </c>
      <c r="D61" s="2">
        <v>45718</v>
      </c>
      <c r="E61" s="1" t="s">
        <v>3</v>
      </c>
      <c r="F61" s="1" t="s">
        <v>145</v>
      </c>
      <c r="G61">
        <v>50</v>
      </c>
      <c r="H61">
        <v>25.02</v>
      </c>
      <c r="I61">
        <v>15.51</v>
      </c>
      <c r="J61" s="7">
        <f t="shared" si="0"/>
        <v>9.51</v>
      </c>
    </row>
    <row r="62" spans="1:10" x14ac:dyDescent="0.35">
      <c r="A62" s="1">
        <v>3041</v>
      </c>
      <c r="B62" s="1">
        <v>2066</v>
      </c>
      <c r="C62" s="1" t="s">
        <v>105</v>
      </c>
      <c r="D62" s="2">
        <v>45718</v>
      </c>
      <c r="E62" s="1" t="s">
        <v>6</v>
      </c>
      <c r="F62" s="1" t="s">
        <v>178</v>
      </c>
      <c r="G62">
        <v>30</v>
      </c>
      <c r="H62">
        <v>60.02</v>
      </c>
      <c r="I62">
        <v>35.409999999999997</v>
      </c>
      <c r="J62" s="7">
        <f t="shared" si="0"/>
        <v>24.610000000000007</v>
      </c>
    </row>
    <row r="63" spans="1:10" x14ac:dyDescent="0.35">
      <c r="A63" s="1">
        <v>3042</v>
      </c>
      <c r="B63" s="1">
        <v>2035</v>
      </c>
      <c r="C63" s="1" t="s">
        <v>106</v>
      </c>
      <c r="D63" s="2">
        <v>45718</v>
      </c>
      <c r="E63" s="1" t="s">
        <v>2</v>
      </c>
      <c r="F63" s="1" t="s">
        <v>179</v>
      </c>
      <c r="G63">
        <v>30</v>
      </c>
      <c r="H63">
        <v>30.02</v>
      </c>
      <c r="I63">
        <v>17.71</v>
      </c>
      <c r="J63" s="7">
        <f t="shared" si="0"/>
        <v>12.309999999999999</v>
      </c>
    </row>
    <row r="64" spans="1:10" x14ac:dyDescent="0.35">
      <c r="A64" s="1">
        <v>3043</v>
      </c>
      <c r="B64" s="1">
        <v>2087</v>
      </c>
      <c r="C64" s="1" t="s">
        <v>107</v>
      </c>
      <c r="D64" s="2">
        <v>45718</v>
      </c>
      <c r="E64" s="1" t="s">
        <v>74</v>
      </c>
      <c r="F64" s="1" t="s">
        <v>166</v>
      </c>
      <c r="G64">
        <v>50</v>
      </c>
      <c r="H64">
        <v>109.52</v>
      </c>
      <c r="I64">
        <v>69.010000000000005</v>
      </c>
      <c r="J64" s="7">
        <f t="shared" si="0"/>
        <v>40.509999999999991</v>
      </c>
    </row>
    <row r="65" spans="1:10" x14ac:dyDescent="0.35">
      <c r="A65" s="1">
        <v>3043</v>
      </c>
      <c r="B65" s="1">
        <v>2087</v>
      </c>
      <c r="C65" s="1" t="s">
        <v>107</v>
      </c>
      <c r="D65" s="2">
        <v>45718</v>
      </c>
      <c r="E65" s="1" t="s">
        <v>0</v>
      </c>
      <c r="F65" s="1" t="s">
        <v>138</v>
      </c>
      <c r="G65">
        <v>50</v>
      </c>
      <c r="H65">
        <v>85.02</v>
      </c>
      <c r="I65">
        <v>54.510000000000005</v>
      </c>
      <c r="J65" s="7">
        <f t="shared" si="0"/>
        <v>30.509999999999991</v>
      </c>
    </row>
    <row r="66" spans="1:10" x14ac:dyDescent="0.35">
      <c r="A66" s="1">
        <v>3043</v>
      </c>
      <c r="B66" s="1">
        <v>2087</v>
      </c>
      <c r="C66" s="1" t="s">
        <v>107</v>
      </c>
      <c r="D66" s="2">
        <v>45718</v>
      </c>
      <c r="E66" s="1" t="s">
        <v>35</v>
      </c>
      <c r="F66" s="1" t="s">
        <v>180</v>
      </c>
      <c r="G66">
        <v>15</v>
      </c>
      <c r="H66">
        <v>10.669999999999998</v>
      </c>
      <c r="I66">
        <v>6.76</v>
      </c>
      <c r="J66" s="7">
        <f t="shared" si="0"/>
        <v>3.9099999999999984</v>
      </c>
    </row>
    <row r="67" spans="1:10" x14ac:dyDescent="0.35">
      <c r="A67" s="1">
        <v>3043</v>
      </c>
      <c r="B67" s="1">
        <v>2087</v>
      </c>
      <c r="C67" s="1" t="s">
        <v>107</v>
      </c>
      <c r="D67" s="2">
        <v>45718</v>
      </c>
      <c r="E67" s="1" t="s">
        <v>15</v>
      </c>
      <c r="F67" s="1" t="s">
        <v>171</v>
      </c>
      <c r="G67">
        <v>50</v>
      </c>
      <c r="H67">
        <v>91.02</v>
      </c>
      <c r="I67">
        <v>54.510000000000005</v>
      </c>
      <c r="J67" s="7">
        <f t="shared" ref="J67:J130" si="1">H67-I67</f>
        <v>36.509999999999991</v>
      </c>
    </row>
    <row r="68" spans="1:10" x14ac:dyDescent="0.35">
      <c r="A68" s="1">
        <v>3044</v>
      </c>
      <c r="B68" s="1">
        <v>2048</v>
      </c>
      <c r="C68" s="1" t="s">
        <v>108</v>
      </c>
      <c r="D68" s="2">
        <v>45718</v>
      </c>
      <c r="E68" s="1" t="s">
        <v>24</v>
      </c>
      <c r="F68" s="1" t="s">
        <v>139</v>
      </c>
      <c r="G68">
        <v>45</v>
      </c>
      <c r="H68">
        <v>53.12</v>
      </c>
      <c r="I68">
        <v>33.309999999999995</v>
      </c>
      <c r="J68" s="7">
        <f t="shared" si="1"/>
        <v>19.810000000000002</v>
      </c>
    </row>
    <row r="69" spans="1:10" x14ac:dyDescent="0.35">
      <c r="A69" s="1">
        <v>3044</v>
      </c>
      <c r="B69" s="1">
        <v>2048</v>
      </c>
      <c r="C69" s="1" t="s">
        <v>108</v>
      </c>
      <c r="D69" s="2">
        <v>45718</v>
      </c>
      <c r="E69" s="1" t="s">
        <v>8</v>
      </c>
      <c r="F69" s="1" t="s">
        <v>181</v>
      </c>
      <c r="G69">
        <v>30</v>
      </c>
      <c r="H69">
        <v>52.52</v>
      </c>
      <c r="I69">
        <v>31.210000000000004</v>
      </c>
      <c r="J69" s="7">
        <f t="shared" si="1"/>
        <v>21.31</v>
      </c>
    </row>
    <row r="70" spans="1:10" x14ac:dyDescent="0.35">
      <c r="A70" s="1">
        <v>3045</v>
      </c>
      <c r="B70" s="1">
        <v>2100</v>
      </c>
      <c r="C70" s="1" t="s">
        <v>109</v>
      </c>
      <c r="D70" s="2">
        <v>45718</v>
      </c>
      <c r="E70" s="1" t="s">
        <v>29</v>
      </c>
      <c r="F70" s="1" t="s">
        <v>157</v>
      </c>
      <c r="G70">
        <v>5</v>
      </c>
      <c r="H70">
        <v>4.47</v>
      </c>
      <c r="I70">
        <v>2.61</v>
      </c>
      <c r="J70" s="7">
        <f t="shared" si="1"/>
        <v>1.8599999999999999</v>
      </c>
    </row>
    <row r="71" spans="1:10" x14ac:dyDescent="0.35">
      <c r="A71" s="1">
        <v>3045</v>
      </c>
      <c r="B71" s="1">
        <v>2100</v>
      </c>
      <c r="C71" s="1" t="s">
        <v>109</v>
      </c>
      <c r="D71" s="2">
        <v>45718</v>
      </c>
      <c r="E71" s="1" t="s">
        <v>52</v>
      </c>
      <c r="F71" s="1" t="s">
        <v>182</v>
      </c>
      <c r="G71">
        <v>50</v>
      </c>
      <c r="H71">
        <v>91.52</v>
      </c>
      <c r="I71">
        <v>53.51</v>
      </c>
      <c r="J71" s="7">
        <f t="shared" si="1"/>
        <v>38.01</v>
      </c>
    </row>
    <row r="72" spans="1:10" x14ac:dyDescent="0.35">
      <c r="A72" s="1">
        <v>3045</v>
      </c>
      <c r="B72" s="1">
        <v>2100</v>
      </c>
      <c r="C72" s="1" t="s">
        <v>109</v>
      </c>
      <c r="D72" s="2">
        <v>45718</v>
      </c>
      <c r="E72" s="1" t="s">
        <v>5</v>
      </c>
      <c r="F72" s="1" t="s">
        <v>170</v>
      </c>
      <c r="G72">
        <v>5</v>
      </c>
      <c r="H72">
        <v>10.02</v>
      </c>
      <c r="I72">
        <v>6.46</v>
      </c>
      <c r="J72" s="7">
        <f t="shared" si="1"/>
        <v>3.5599999999999996</v>
      </c>
    </row>
    <row r="73" spans="1:10" x14ac:dyDescent="0.35">
      <c r="A73" s="1">
        <v>3045</v>
      </c>
      <c r="B73" s="1">
        <v>2100</v>
      </c>
      <c r="C73" s="1" t="s">
        <v>109</v>
      </c>
      <c r="D73" s="2">
        <v>45718</v>
      </c>
      <c r="E73" s="1" t="s">
        <v>63</v>
      </c>
      <c r="F73" s="1" t="s">
        <v>183</v>
      </c>
      <c r="G73">
        <v>10</v>
      </c>
      <c r="H73">
        <v>11.419999999999998</v>
      </c>
      <c r="I73">
        <v>7.01</v>
      </c>
      <c r="J73" s="7">
        <f t="shared" si="1"/>
        <v>4.4099999999999984</v>
      </c>
    </row>
    <row r="74" spans="1:10" x14ac:dyDescent="0.35">
      <c r="A74" s="1">
        <v>3046</v>
      </c>
      <c r="B74" s="1">
        <v>2064</v>
      </c>
      <c r="C74" s="1" t="s">
        <v>110</v>
      </c>
      <c r="D74" s="2">
        <v>45718</v>
      </c>
      <c r="E74" s="1" t="s">
        <v>59</v>
      </c>
      <c r="F74" s="1" t="s">
        <v>184</v>
      </c>
      <c r="G74">
        <v>15</v>
      </c>
      <c r="H74">
        <v>9.77</v>
      </c>
      <c r="I74">
        <v>6.31</v>
      </c>
      <c r="J74" s="7">
        <f t="shared" si="1"/>
        <v>3.46</v>
      </c>
    </row>
    <row r="75" spans="1:10" x14ac:dyDescent="0.35">
      <c r="A75" s="1">
        <v>3046</v>
      </c>
      <c r="B75" s="1">
        <v>2064</v>
      </c>
      <c r="C75" s="1" t="s">
        <v>110</v>
      </c>
      <c r="D75" s="2">
        <v>45718</v>
      </c>
      <c r="E75" s="1" t="s">
        <v>37</v>
      </c>
      <c r="F75" s="1" t="s">
        <v>185</v>
      </c>
      <c r="G75">
        <v>10</v>
      </c>
      <c r="H75">
        <v>9.6199999999999992</v>
      </c>
      <c r="I75">
        <v>5.7099999999999991</v>
      </c>
      <c r="J75" s="7">
        <f t="shared" si="1"/>
        <v>3.91</v>
      </c>
    </row>
    <row r="76" spans="1:10" x14ac:dyDescent="0.35">
      <c r="A76" s="1">
        <v>3046</v>
      </c>
      <c r="B76" s="1">
        <v>2064</v>
      </c>
      <c r="C76" s="1" t="s">
        <v>110</v>
      </c>
      <c r="D76" s="2">
        <v>45718</v>
      </c>
      <c r="E76" s="1" t="s">
        <v>49</v>
      </c>
      <c r="F76" s="1" t="s">
        <v>144</v>
      </c>
      <c r="G76">
        <v>5</v>
      </c>
      <c r="H76">
        <v>5.32</v>
      </c>
      <c r="I76">
        <v>3.1599999999999997</v>
      </c>
      <c r="J76" s="7">
        <f t="shared" si="1"/>
        <v>2.1600000000000006</v>
      </c>
    </row>
    <row r="77" spans="1:10" x14ac:dyDescent="0.35">
      <c r="A77" s="1">
        <v>3046</v>
      </c>
      <c r="B77" s="1">
        <v>2064</v>
      </c>
      <c r="C77" s="1" t="s">
        <v>110</v>
      </c>
      <c r="D77" s="2">
        <v>45718</v>
      </c>
      <c r="E77" s="1" t="s">
        <v>5</v>
      </c>
      <c r="F77" s="1" t="s">
        <v>170</v>
      </c>
      <c r="G77">
        <v>25</v>
      </c>
      <c r="H77">
        <v>50.02</v>
      </c>
      <c r="I77">
        <v>32.26</v>
      </c>
      <c r="J77" s="7">
        <f t="shared" si="1"/>
        <v>17.760000000000005</v>
      </c>
    </row>
    <row r="78" spans="1:10" x14ac:dyDescent="0.35">
      <c r="A78" s="1">
        <v>3046</v>
      </c>
      <c r="B78" s="1">
        <v>2064</v>
      </c>
      <c r="C78" s="1" t="s">
        <v>110</v>
      </c>
      <c r="D78" s="2">
        <v>45718</v>
      </c>
      <c r="E78" s="1" t="s">
        <v>22</v>
      </c>
      <c r="F78" s="1" t="s">
        <v>186</v>
      </c>
      <c r="G78">
        <v>40</v>
      </c>
      <c r="H78">
        <v>79.22</v>
      </c>
      <c r="I78">
        <v>52.01</v>
      </c>
      <c r="J78" s="7">
        <f t="shared" si="1"/>
        <v>27.21</v>
      </c>
    </row>
    <row r="79" spans="1:10" x14ac:dyDescent="0.35">
      <c r="A79" s="1">
        <v>3046</v>
      </c>
      <c r="B79" s="1">
        <v>2064</v>
      </c>
      <c r="C79" s="1" t="s">
        <v>110</v>
      </c>
      <c r="D79" s="2">
        <v>45718</v>
      </c>
      <c r="E79" s="1" t="s">
        <v>69</v>
      </c>
      <c r="F79" s="1" t="s">
        <v>187</v>
      </c>
      <c r="G79">
        <v>45</v>
      </c>
      <c r="H79">
        <v>108.02</v>
      </c>
      <c r="I79">
        <v>65.710000000000008</v>
      </c>
      <c r="J79" s="7">
        <f t="shared" si="1"/>
        <v>42.309999999999988</v>
      </c>
    </row>
    <row r="80" spans="1:10" x14ac:dyDescent="0.35">
      <c r="A80" s="1">
        <v>3046</v>
      </c>
      <c r="B80" s="1">
        <v>2064</v>
      </c>
      <c r="C80" s="1" t="s">
        <v>110</v>
      </c>
      <c r="D80" s="2">
        <v>45718</v>
      </c>
      <c r="E80" s="1" t="s">
        <v>44</v>
      </c>
      <c r="F80" s="1" t="s">
        <v>188</v>
      </c>
      <c r="G80">
        <v>25</v>
      </c>
      <c r="H80">
        <v>16.52</v>
      </c>
      <c r="I80">
        <v>11.01</v>
      </c>
      <c r="J80" s="7">
        <f t="shared" si="1"/>
        <v>5.51</v>
      </c>
    </row>
    <row r="81" spans="1:10" x14ac:dyDescent="0.35">
      <c r="A81" s="1">
        <v>3047</v>
      </c>
      <c r="B81" s="1">
        <v>2070</v>
      </c>
      <c r="C81" s="1" t="s">
        <v>111</v>
      </c>
      <c r="D81" s="2">
        <v>45718</v>
      </c>
      <c r="E81" s="1" t="s">
        <v>51</v>
      </c>
      <c r="F81" s="1" t="s">
        <v>189</v>
      </c>
      <c r="G81">
        <v>15</v>
      </c>
      <c r="H81">
        <v>17.27</v>
      </c>
      <c r="I81">
        <v>10.659999999999998</v>
      </c>
      <c r="J81" s="7">
        <f t="shared" si="1"/>
        <v>6.6100000000000012</v>
      </c>
    </row>
    <row r="82" spans="1:10" x14ac:dyDescent="0.35">
      <c r="A82" s="1">
        <v>3048</v>
      </c>
      <c r="B82" s="1">
        <v>2031</v>
      </c>
      <c r="C82" s="1" t="s">
        <v>112</v>
      </c>
      <c r="D82" s="2">
        <v>45718</v>
      </c>
      <c r="E82" s="1" t="s">
        <v>3</v>
      </c>
      <c r="F82" s="1" t="s">
        <v>145</v>
      </c>
      <c r="G82">
        <v>35</v>
      </c>
      <c r="H82">
        <v>17.52</v>
      </c>
      <c r="I82">
        <v>10.86</v>
      </c>
      <c r="J82" s="7">
        <f t="shared" si="1"/>
        <v>6.66</v>
      </c>
    </row>
    <row r="83" spans="1:10" x14ac:dyDescent="0.35">
      <c r="A83" s="1">
        <v>3048</v>
      </c>
      <c r="B83" s="1">
        <v>2031</v>
      </c>
      <c r="C83" s="1" t="s">
        <v>112</v>
      </c>
      <c r="D83" s="2">
        <v>45718</v>
      </c>
      <c r="E83" s="1" t="s">
        <v>3</v>
      </c>
      <c r="F83" s="1" t="s">
        <v>145</v>
      </c>
      <c r="G83">
        <v>15</v>
      </c>
      <c r="H83">
        <v>7.52</v>
      </c>
      <c r="I83">
        <v>4.66</v>
      </c>
      <c r="J83" s="7">
        <f t="shared" si="1"/>
        <v>2.8599999999999994</v>
      </c>
    </row>
    <row r="84" spans="1:10" x14ac:dyDescent="0.35">
      <c r="A84" s="1">
        <v>3048</v>
      </c>
      <c r="B84" s="1">
        <v>2031</v>
      </c>
      <c r="C84" s="1" t="s">
        <v>112</v>
      </c>
      <c r="D84" s="2">
        <v>45718</v>
      </c>
      <c r="E84" s="1" t="s">
        <v>48</v>
      </c>
      <c r="F84" s="1" t="s">
        <v>154</v>
      </c>
      <c r="G84">
        <v>5</v>
      </c>
      <c r="H84">
        <v>3.77</v>
      </c>
      <c r="I84">
        <v>2.46</v>
      </c>
      <c r="J84" s="7">
        <f t="shared" si="1"/>
        <v>1.31</v>
      </c>
    </row>
    <row r="85" spans="1:10" x14ac:dyDescent="0.35">
      <c r="A85" s="1">
        <v>3048</v>
      </c>
      <c r="B85" s="1">
        <v>2031</v>
      </c>
      <c r="C85" s="1" t="s">
        <v>112</v>
      </c>
      <c r="D85" s="2">
        <v>45718</v>
      </c>
      <c r="E85" s="1" t="s">
        <v>69</v>
      </c>
      <c r="F85" s="1" t="s">
        <v>187</v>
      </c>
      <c r="G85">
        <v>40</v>
      </c>
      <c r="H85">
        <v>96.02</v>
      </c>
      <c r="I85">
        <v>58.41</v>
      </c>
      <c r="J85" s="7">
        <f t="shared" si="1"/>
        <v>37.61</v>
      </c>
    </row>
    <row r="86" spans="1:10" x14ac:dyDescent="0.35">
      <c r="A86" s="1">
        <v>3048</v>
      </c>
      <c r="B86" s="1">
        <v>2031</v>
      </c>
      <c r="C86" s="1" t="s">
        <v>112</v>
      </c>
      <c r="D86" s="2">
        <v>45718</v>
      </c>
      <c r="E86" s="1" t="s">
        <v>8</v>
      </c>
      <c r="F86" s="1" t="s">
        <v>181</v>
      </c>
      <c r="G86">
        <v>25</v>
      </c>
      <c r="H86">
        <v>43.77</v>
      </c>
      <c r="I86">
        <v>26.01</v>
      </c>
      <c r="J86" s="7">
        <f t="shared" si="1"/>
        <v>17.760000000000002</v>
      </c>
    </row>
    <row r="87" spans="1:10" x14ac:dyDescent="0.35">
      <c r="A87" s="1">
        <v>3048</v>
      </c>
      <c r="B87" s="1">
        <v>2031</v>
      </c>
      <c r="C87" s="1" t="s">
        <v>112</v>
      </c>
      <c r="D87" s="2">
        <v>45718</v>
      </c>
      <c r="E87" s="1" t="s">
        <v>64</v>
      </c>
      <c r="F87" s="1" t="s">
        <v>190</v>
      </c>
      <c r="G87">
        <v>20</v>
      </c>
      <c r="H87">
        <v>46.02</v>
      </c>
      <c r="I87">
        <v>30.41</v>
      </c>
      <c r="J87" s="7">
        <f t="shared" si="1"/>
        <v>15.610000000000003</v>
      </c>
    </row>
    <row r="88" spans="1:10" x14ac:dyDescent="0.35">
      <c r="A88" s="1">
        <v>3049</v>
      </c>
      <c r="B88" s="1">
        <v>2043</v>
      </c>
      <c r="C88" s="1" t="s">
        <v>113</v>
      </c>
      <c r="D88" s="2">
        <v>45718</v>
      </c>
      <c r="E88" s="1" t="s">
        <v>3</v>
      </c>
      <c r="F88" s="1" t="s">
        <v>145</v>
      </c>
      <c r="G88">
        <v>25</v>
      </c>
      <c r="H88">
        <v>12.52</v>
      </c>
      <c r="I88">
        <v>7.76</v>
      </c>
      <c r="J88" s="7">
        <f t="shared" si="1"/>
        <v>4.76</v>
      </c>
    </row>
    <row r="89" spans="1:10" x14ac:dyDescent="0.35">
      <c r="A89" s="1">
        <v>3050</v>
      </c>
      <c r="B89" s="1">
        <v>2084</v>
      </c>
      <c r="C89" s="1" t="s">
        <v>114</v>
      </c>
      <c r="D89" s="2">
        <v>45718</v>
      </c>
      <c r="E89" s="1" t="s">
        <v>61</v>
      </c>
      <c r="F89" s="1" t="s">
        <v>165</v>
      </c>
      <c r="G89">
        <v>10</v>
      </c>
      <c r="H89">
        <v>10.119999999999999</v>
      </c>
      <c r="I89">
        <v>5.9099999999999993</v>
      </c>
      <c r="J89" s="7">
        <f t="shared" si="1"/>
        <v>4.21</v>
      </c>
    </row>
    <row r="90" spans="1:10" x14ac:dyDescent="0.35">
      <c r="A90" s="1">
        <v>3050</v>
      </c>
      <c r="B90" s="1">
        <v>2084</v>
      </c>
      <c r="C90" s="1" t="s">
        <v>114</v>
      </c>
      <c r="D90" s="2">
        <v>45718</v>
      </c>
      <c r="E90" s="1" t="s">
        <v>3</v>
      </c>
      <c r="F90" s="1" t="s">
        <v>145</v>
      </c>
      <c r="G90">
        <v>15</v>
      </c>
      <c r="H90">
        <v>7.52</v>
      </c>
      <c r="I90">
        <v>4.66</v>
      </c>
      <c r="J90" s="7">
        <f t="shared" si="1"/>
        <v>2.8599999999999994</v>
      </c>
    </row>
    <row r="91" spans="1:10" x14ac:dyDescent="0.35">
      <c r="A91" s="1">
        <v>3050</v>
      </c>
      <c r="B91" s="1">
        <v>2084</v>
      </c>
      <c r="C91" s="1" t="s">
        <v>114</v>
      </c>
      <c r="D91" s="2">
        <v>45718</v>
      </c>
      <c r="E91" s="1" t="s">
        <v>26</v>
      </c>
      <c r="F91" s="1" t="s">
        <v>191</v>
      </c>
      <c r="G91">
        <v>15</v>
      </c>
      <c r="H91">
        <v>14.12</v>
      </c>
      <c r="I91">
        <v>8.41</v>
      </c>
      <c r="J91" s="7">
        <f t="shared" si="1"/>
        <v>5.7099999999999991</v>
      </c>
    </row>
    <row r="92" spans="1:10" x14ac:dyDescent="0.35">
      <c r="A92" s="1">
        <v>3050</v>
      </c>
      <c r="B92" s="1">
        <v>2084</v>
      </c>
      <c r="C92" s="1" t="s">
        <v>114</v>
      </c>
      <c r="D92" s="2">
        <v>45718</v>
      </c>
      <c r="E92" s="1" t="s">
        <v>76</v>
      </c>
      <c r="F92" s="1" t="s">
        <v>192</v>
      </c>
      <c r="G92">
        <v>5</v>
      </c>
      <c r="H92">
        <v>7.52</v>
      </c>
      <c r="I92">
        <v>4.66</v>
      </c>
      <c r="J92" s="7">
        <f t="shared" si="1"/>
        <v>2.8599999999999994</v>
      </c>
    </row>
    <row r="93" spans="1:10" x14ac:dyDescent="0.35">
      <c r="A93" s="1">
        <v>3050</v>
      </c>
      <c r="B93" s="1">
        <v>2084</v>
      </c>
      <c r="C93" s="1" t="s">
        <v>114</v>
      </c>
      <c r="D93" s="2">
        <v>45718</v>
      </c>
      <c r="E93" s="1" t="s">
        <v>0</v>
      </c>
      <c r="F93" s="1" t="s">
        <v>138</v>
      </c>
      <c r="G93">
        <v>10</v>
      </c>
      <c r="H93">
        <v>17.02</v>
      </c>
      <c r="I93">
        <v>10.91</v>
      </c>
      <c r="J93" s="7">
        <f t="shared" si="1"/>
        <v>6.1099999999999994</v>
      </c>
    </row>
    <row r="94" spans="1:10" x14ac:dyDescent="0.35">
      <c r="A94" s="1">
        <v>3050</v>
      </c>
      <c r="B94" s="1">
        <v>2084</v>
      </c>
      <c r="C94" s="1" t="s">
        <v>114</v>
      </c>
      <c r="D94" s="2">
        <v>45718</v>
      </c>
      <c r="E94" s="1" t="s">
        <v>56</v>
      </c>
      <c r="F94" s="1" t="s">
        <v>193</v>
      </c>
      <c r="G94">
        <v>5</v>
      </c>
      <c r="H94">
        <v>6.57</v>
      </c>
      <c r="I94">
        <v>3.86</v>
      </c>
      <c r="J94" s="7">
        <f t="shared" si="1"/>
        <v>2.7100000000000004</v>
      </c>
    </row>
    <row r="95" spans="1:10" x14ac:dyDescent="0.35">
      <c r="A95" s="1">
        <v>3051</v>
      </c>
      <c r="B95" s="1">
        <v>2098</v>
      </c>
      <c r="C95" s="1" t="s">
        <v>115</v>
      </c>
      <c r="D95" s="2">
        <v>45718</v>
      </c>
      <c r="E95" s="1" t="s">
        <v>50</v>
      </c>
      <c r="F95" s="1" t="s">
        <v>194</v>
      </c>
      <c r="G95">
        <v>35</v>
      </c>
      <c r="H95">
        <v>32.92</v>
      </c>
      <c r="I95">
        <v>21.36</v>
      </c>
      <c r="J95" s="7">
        <f t="shared" si="1"/>
        <v>11.560000000000002</v>
      </c>
    </row>
    <row r="96" spans="1:10" x14ac:dyDescent="0.35">
      <c r="A96" s="1">
        <v>3052</v>
      </c>
      <c r="B96" s="1">
        <v>2036</v>
      </c>
      <c r="C96" s="1" t="s">
        <v>116</v>
      </c>
      <c r="D96" s="2">
        <v>45718</v>
      </c>
      <c r="E96" s="1" t="s">
        <v>71</v>
      </c>
      <c r="F96" s="1" t="s">
        <v>177</v>
      </c>
      <c r="G96">
        <v>10</v>
      </c>
      <c r="H96">
        <v>9.4199999999999982</v>
      </c>
      <c r="I96">
        <v>5.9099999999999993</v>
      </c>
      <c r="J96" s="7">
        <f t="shared" si="1"/>
        <v>3.5099999999999989</v>
      </c>
    </row>
    <row r="97" spans="1:10" x14ac:dyDescent="0.35">
      <c r="A97" s="1">
        <v>3052</v>
      </c>
      <c r="B97" s="1">
        <v>2036</v>
      </c>
      <c r="C97" s="1" t="s">
        <v>116</v>
      </c>
      <c r="D97" s="2">
        <v>45718</v>
      </c>
      <c r="E97" s="1" t="s">
        <v>22</v>
      </c>
      <c r="F97" s="1" t="s">
        <v>186</v>
      </c>
      <c r="G97">
        <v>35</v>
      </c>
      <c r="H97">
        <v>69.319999999999993</v>
      </c>
      <c r="I97">
        <v>45.51</v>
      </c>
      <c r="J97" s="7">
        <f t="shared" si="1"/>
        <v>23.809999999999995</v>
      </c>
    </row>
    <row r="98" spans="1:10" x14ac:dyDescent="0.35">
      <c r="A98" s="1">
        <v>3053</v>
      </c>
      <c r="B98" s="1">
        <v>2032</v>
      </c>
      <c r="C98" s="1" t="s">
        <v>117</v>
      </c>
      <c r="D98" s="2">
        <v>45718</v>
      </c>
      <c r="E98" s="1" t="s">
        <v>31</v>
      </c>
      <c r="F98" s="1" t="s">
        <v>195</v>
      </c>
      <c r="G98">
        <v>45</v>
      </c>
      <c r="H98">
        <v>87.77</v>
      </c>
      <c r="I98">
        <v>50.859999999999992</v>
      </c>
      <c r="J98" s="7">
        <f t="shared" si="1"/>
        <v>36.910000000000004</v>
      </c>
    </row>
    <row r="99" spans="1:10" x14ac:dyDescent="0.35">
      <c r="A99" s="1">
        <v>3053</v>
      </c>
      <c r="B99" s="1">
        <v>2032</v>
      </c>
      <c r="C99" s="1" t="s">
        <v>117</v>
      </c>
      <c r="D99" s="2">
        <v>45718</v>
      </c>
      <c r="E99" s="1" t="s">
        <v>12</v>
      </c>
      <c r="F99" s="1" t="s">
        <v>196</v>
      </c>
      <c r="G99">
        <v>45</v>
      </c>
      <c r="H99">
        <v>78.77</v>
      </c>
      <c r="I99">
        <v>49.06</v>
      </c>
      <c r="J99" s="7">
        <f t="shared" si="1"/>
        <v>29.709999999999994</v>
      </c>
    </row>
    <row r="100" spans="1:10" x14ac:dyDescent="0.35">
      <c r="A100" s="1">
        <v>3054</v>
      </c>
      <c r="B100" s="1">
        <v>2088</v>
      </c>
      <c r="C100" s="1" t="s">
        <v>118</v>
      </c>
      <c r="D100" s="2">
        <v>45718</v>
      </c>
      <c r="E100" s="1" t="s">
        <v>17</v>
      </c>
      <c r="F100" s="1" t="s">
        <v>197</v>
      </c>
      <c r="G100">
        <v>25</v>
      </c>
      <c r="H100">
        <v>51.02</v>
      </c>
      <c r="I100">
        <v>33.51</v>
      </c>
      <c r="J100" s="7">
        <f t="shared" si="1"/>
        <v>17.510000000000005</v>
      </c>
    </row>
    <row r="101" spans="1:10" x14ac:dyDescent="0.35">
      <c r="A101" s="1">
        <v>3054</v>
      </c>
      <c r="B101" s="1">
        <v>2088</v>
      </c>
      <c r="C101" s="1" t="s">
        <v>118</v>
      </c>
      <c r="D101" s="2">
        <v>45718</v>
      </c>
      <c r="E101" s="1" t="s">
        <v>6</v>
      </c>
      <c r="F101" s="1" t="s">
        <v>178</v>
      </c>
      <c r="G101">
        <v>10</v>
      </c>
      <c r="H101">
        <v>20.02</v>
      </c>
      <c r="I101">
        <v>11.809999999999999</v>
      </c>
      <c r="J101" s="7">
        <f t="shared" si="1"/>
        <v>8.2100000000000009</v>
      </c>
    </row>
    <row r="102" spans="1:10" x14ac:dyDescent="0.35">
      <c r="A102" s="1">
        <v>3054</v>
      </c>
      <c r="B102" s="1">
        <v>2088</v>
      </c>
      <c r="C102" s="1" t="s">
        <v>118</v>
      </c>
      <c r="D102" s="2">
        <v>45718</v>
      </c>
      <c r="E102" s="1" t="s">
        <v>54</v>
      </c>
      <c r="F102" s="1" t="s">
        <v>198</v>
      </c>
      <c r="G102">
        <v>40</v>
      </c>
      <c r="H102">
        <v>72.819999999999993</v>
      </c>
      <c r="I102">
        <v>44.81</v>
      </c>
      <c r="J102" s="7">
        <f t="shared" si="1"/>
        <v>28.009999999999991</v>
      </c>
    </row>
    <row r="103" spans="1:10" x14ac:dyDescent="0.35">
      <c r="A103" s="1">
        <v>3054</v>
      </c>
      <c r="B103" s="1">
        <v>2088</v>
      </c>
      <c r="C103" s="1" t="s">
        <v>118</v>
      </c>
      <c r="D103" s="2">
        <v>45718</v>
      </c>
      <c r="E103" s="1" t="s">
        <v>26</v>
      </c>
      <c r="F103" s="1" t="s">
        <v>191</v>
      </c>
      <c r="G103">
        <v>40</v>
      </c>
      <c r="H103">
        <v>37.619999999999997</v>
      </c>
      <c r="I103">
        <v>22.410000000000004</v>
      </c>
      <c r="J103" s="7">
        <f t="shared" si="1"/>
        <v>15.209999999999994</v>
      </c>
    </row>
    <row r="104" spans="1:10" x14ac:dyDescent="0.35">
      <c r="A104" s="1">
        <v>3054</v>
      </c>
      <c r="B104" s="1">
        <v>2088</v>
      </c>
      <c r="C104" s="1" t="s">
        <v>118</v>
      </c>
      <c r="D104" s="2">
        <v>45718</v>
      </c>
      <c r="E104" s="1" t="s">
        <v>57</v>
      </c>
      <c r="F104" s="1" t="s">
        <v>199</v>
      </c>
      <c r="G104">
        <v>35</v>
      </c>
      <c r="H104">
        <v>26.97</v>
      </c>
      <c r="I104">
        <v>16.110000000000003</v>
      </c>
      <c r="J104" s="7">
        <f t="shared" si="1"/>
        <v>10.859999999999996</v>
      </c>
    </row>
    <row r="105" spans="1:10" x14ac:dyDescent="0.35">
      <c r="A105" s="1">
        <v>3054</v>
      </c>
      <c r="B105" s="1">
        <v>2088</v>
      </c>
      <c r="C105" s="1" t="s">
        <v>118</v>
      </c>
      <c r="D105" s="2">
        <v>45718</v>
      </c>
      <c r="E105" s="1" t="s">
        <v>3</v>
      </c>
      <c r="F105" s="1" t="s">
        <v>145</v>
      </c>
      <c r="G105">
        <v>40</v>
      </c>
      <c r="H105">
        <v>20.02</v>
      </c>
      <c r="I105">
        <v>12.41</v>
      </c>
      <c r="J105" s="7">
        <f t="shared" si="1"/>
        <v>7.6099999999999994</v>
      </c>
    </row>
    <row r="106" spans="1:10" x14ac:dyDescent="0.35">
      <c r="A106" s="1">
        <v>3055</v>
      </c>
      <c r="B106" s="1">
        <v>2081</v>
      </c>
      <c r="C106" s="1" t="s">
        <v>119</v>
      </c>
      <c r="D106" s="2">
        <v>45718</v>
      </c>
      <c r="E106" s="1" t="s">
        <v>32</v>
      </c>
      <c r="F106" s="1" t="s">
        <v>200</v>
      </c>
      <c r="G106">
        <v>40</v>
      </c>
      <c r="H106">
        <v>59.620000000000005</v>
      </c>
      <c r="I106">
        <v>38.01</v>
      </c>
      <c r="J106" s="7">
        <f t="shared" si="1"/>
        <v>21.610000000000007</v>
      </c>
    </row>
    <row r="107" spans="1:10" x14ac:dyDescent="0.35">
      <c r="A107" s="1">
        <v>3055</v>
      </c>
      <c r="B107" s="1">
        <v>2081</v>
      </c>
      <c r="C107" s="1" t="s">
        <v>119</v>
      </c>
      <c r="D107" s="2">
        <v>45719</v>
      </c>
      <c r="E107" s="1" t="s">
        <v>30</v>
      </c>
      <c r="F107" s="1" t="s">
        <v>201</v>
      </c>
      <c r="G107">
        <v>15</v>
      </c>
      <c r="H107">
        <v>9.4699999999999989</v>
      </c>
      <c r="I107">
        <v>5.56</v>
      </c>
      <c r="J107" s="7">
        <f t="shared" si="1"/>
        <v>3.9099999999999993</v>
      </c>
    </row>
    <row r="108" spans="1:10" x14ac:dyDescent="0.35">
      <c r="A108" s="1">
        <v>3055</v>
      </c>
      <c r="B108" s="1">
        <v>2081</v>
      </c>
      <c r="C108" s="1" t="s">
        <v>119</v>
      </c>
      <c r="D108" s="2">
        <v>45719</v>
      </c>
      <c r="E108" s="1" t="s">
        <v>60</v>
      </c>
      <c r="F108" s="1" t="s">
        <v>202</v>
      </c>
      <c r="G108">
        <v>10</v>
      </c>
      <c r="H108">
        <v>23.720000000000002</v>
      </c>
      <c r="I108">
        <v>15.41</v>
      </c>
      <c r="J108" s="7">
        <f t="shared" si="1"/>
        <v>8.3100000000000023</v>
      </c>
    </row>
    <row r="109" spans="1:10" x14ac:dyDescent="0.35">
      <c r="A109" s="1">
        <v>3055</v>
      </c>
      <c r="B109" s="1">
        <v>2081</v>
      </c>
      <c r="C109" s="1" t="s">
        <v>119</v>
      </c>
      <c r="D109" s="2">
        <v>45719</v>
      </c>
      <c r="E109" s="1" t="s">
        <v>14</v>
      </c>
      <c r="F109" s="1" t="s">
        <v>172</v>
      </c>
      <c r="G109">
        <v>45</v>
      </c>
      <c r="H109">
        <v>45.470000000000006</v>
      </c>
      <c r="I109">
        <v>27.46</v>
      </c>
      <c r="J109" s="7">
        <f t="shared" si="1"/>
        <v>18.010000000000005</v>
      </c>
    </row>
    <row r="110" spans="1:10" x14ac:dyDescent="0.35">
      <c r="A110" s="1">
        <v>3055</v>
      </c>
      <c r="B110" s="1">
        <v>2081</v>
      </c>
      <c r="C110" s="1" t="s">
        <v>119</v>
      </c>
      <c r="D110" s="2">
        <v>45719</v>
      </c>
      <c r="E110" s="1" t="s">
        <v>45</v>
      </c>
      <c r="F110" s="1" t="s">
        <v>203</v>
      </c>
      <c r="G110">
        <v>50</v>
      </c>
      <c r="H110">
        <v>73.52</v>
      </c>
      <c r="I110">
        <v>48.01</v>
      </c>
      <c r="J110" s="7">
        <f t="shared" si="1"/>
        <v>25.509999999999998</v>
      </c>
    </row>
    <row r="111" spans="1:10" x14ac:dyDescent="0.35">
      <c r="A111" s="1">
        <v>3055</v>
      </c>
      <c r="B111" s="1">
        <v>2081</v>
      </c>
      <c r="C111" s="1" t="s">
        <v>119</v>
      </c>
      <c r="D111" s="2">
        <v>45719</v>
      </c>
      <c r="E111" s="1" t="s">
        <v>60</v>
      </c>
      <c r="F111" s="1" t="s">
        <v>202</v>
      </c>
      <c r="G111">
        <v>35</v>
      </c>
      <c r="H111">
        <v>82.97</v>
      </c>
      <c r="I111">
        <v>53.91</v>
      </c>
      <c r="J111" s="7">
        <f t="shared" si="1"/>
        <v>29.060000000000002</v>
      </c>
    </row>
    <row r="112" spans="1:10" x14ac:dyDescent="0.35">
      <c r="A112" s="1">
        <v>3055</v>
      </c>
      <c r="B112" s="1">
        <v>2081</v>
      </c>
      <c r="C112" s="1" t="s">
        <v>119</v>
      </c>
      <c r="D112" s="2">
        <v>45719</v>
      </c>
      <c r="E112" s="1" t="s">
        <v>52</v>
      </c>
      <c r="F112" s="1" t="s">
        <v>182</v>
      </c>
      <c r="G112">
        <v>30</v>
      </c>
      <c r="H112">
        <v>54.920000000000009</v>
      </c>
      <c r="I112">
        <v>32.11</v>
      </c>
      <c r="J112" s="7">
        <f t="shared" si="1"/>
        <v>22.810000000000009</v>
      </c>
    </row>
    <row r="113" spans="1:10" x14ac:dyDescent="0.35">
      <c r="A113" s="1">
        <v>3055</v>
      </c>
      <c r="B113" s="1">
        <v>2081</v>
      </c>
      <c r="C113" s="1" t="s">
        <v>119</v>
      </c>
      <c r="D113" s="2">
        <v>45719</v>
      </c>
      <c r="E113" s="1" t="s">
        <v>3</v>
      </c>
      <c r="F113" s="1" t="s">
        <v>145</v>
      </c>
      <c r="G113">
        <v>45</v>
      </c>
      <c r="H113">
        <v>22.52</v>
      </c>
      <c r="I113">
        <v>13.959999999999999</v>
      </c>
      <c r="J113" s="7">
        <f t="shared" si="1"/>
        <v>8.56</v>
      </c>
    </row>
    <row r="114" spans="1:10" x14ac:dyDescent="0.35">
      <c r="A114" s="1">
        <v>3056</v>
      </c>
      <c r="B114" s="1">
        <v>2063</v>
      </c>
      <c r="C114" s="1" t="s">
        <v>120</v>
      </c>
      <c r="D114" s="2">
        <v>45719</v>
      </c>
      <c r="E114" s="1" t="s">
        <v>0</v>
      </c>
      <c r="F114" s="1" t="s">
        <v>138</v>
      </c>
      <c r="G114">
        <v>10</v>
      </c>
      <c r="H114">
        <v>17.02</v>
      </c>
      <c r="I114">
        <v>10.91</v>
      </c>
      <c r="J114" s="7">
        <f t="shared" si="1"/>
        <v>6.1099999999999994</v>
      </c>
    </row>
    <row r="115" spans="1:10" x14ac:dyDescent="0.35">
      <c r="A115" s="1">
        <v>3056</v>
      </c>
      <c r="B115" s="1">
        <v>2063</v>
      </c>
      <c r="C115" s="1" t="s">
        <v>120</v>
      </c>
      <c r="D115" s="2">
        <v>45719</v>
      </c>
      <c r="E115" s="1" t="s">
        <v>12</v>
      </c>
      <c r="F115" s="1" t="s">
        <v>196</v>
      </c>
      <c r="G115">
        <v>40</v>
      </c>
      <c r="H115">
        <v>70.02</v>
      </c>
      <c r="I115">
        <v>43.61</v>
      </c>
      <c r="J115" s="7">
        <f t="shared" si="1"/>
        <v>26.409999999999997</v>
      </c>
    </row>
    <row r="116" spans="1:10" x14ac:dyDescent="0.35">
      <c r="A116" s="1">
        <v>3057</v>
      </c>
      <c r="B116" s="1">
        <v>2023</v>
      </c>
      <c r="C116" s="1" t="s">
        <v>121</v>
      </c>
      <c r="D116" s="2">
        <v>45719</v>
      </c>
      <c r="E116" s="1" t="s">
        <v>72</v>
      </c>
      <c r="F116" s="1" t="s">
        <v>204</v>
      </c>
      <c r="G116">
        <v>30</v>
      </c>
      <c r="H116">
        <v>24.02</v>
      </c>
      <c r="I116">
        <v>15.610000000000001</v>
      </c>
      <c r="J116" s="7">
        <f t="shared" si="1"/>
        <v>8.4099999999999984</v>
      </c>
    </row>
    <row r="117" spans="1:10" x14ac:dyDescent="0.35">
      <c r="A117" s="1">
        <v>3058</v>
      </c>
      <c r="B117" s="1">
        <v>2046</v>
      </c>
      <c r="C117" s="1" t="s">
        <v>122</v>
      </c>
      <c r="D117" s="2">
        <v>45719</v>
      </c>
      <c r="E117" s="1" t="s">
        <v>20</v>
      </c>
      <c r="F117" s="1" t="s">
        <v>150</v>
      </c>
      <c r="G117">
        <v>5</v>
      </c>
      <c r="H117">
        <v>10.87</v>
      </c>
      <c r="I117">
        <v>6.61</v>
      </c>
      <c r="J117" s="7">
        <f t="shared" si="1"/>
        <v>4.2599999999999989</v>
      </c>
    </row>
    <row r="118" spans="1:10" x14ac:dyDescent="0.35">
      <c r="A118" s="1">
        <v>3058</v>
      </c>
      <c r="B118" s="1">
        <v>2046</v>
      </c>
      <c r="C118" s="1" t="s">
        <v>122</v>
      </c>
      <c r="D118" s="2">
        <v>45719</v>
      </c>
      <c r="E118" s="1" t="s">
        <v>44</v>
      </c>
      <c r="F118" s="1" t="s">
        <v>188</v>
      </c>
      <c r="G118">
        <v>20</v>
      </c>
      <c r="H118">
        <v>13.22</v>
      </c>
      <c r="I118">
        <v>8.81</v>
      </c>
      <c r="J118" s="7">
        <f t="shared" si="1"/>
        <v>4.41</v>
      </c>
    </row>
    <row r="119" spans="1:10" x14ac:dyDescent="0.35">
      <c r="A119" s="1">
        <v>3059</v>
      </c>
      <c r="B119" s="1">
        <v>2055</v>
      </c>
      <c r="C119" s="1" t="s">
        <v>123</v>
      </c>
      <c r="D119" s="2">
        <v>45719</v>
      </c>
      <c r="E119" s="1" t="s">
        <v>51</v>
      </c>
      <c r="F119" s="1" t="s">
        <v>189</v>
      </c>
      <c r="G119">
        <v>10</v>
      </c>
      <c r="H119">
        <v>11.52</v>
      </c>
      <c r="I119">
        <v>7.1099999999999994</v>
      </c>
      <c r="J119" s="7">
        <f t="shared" si="1"/>
        <v>4.41</v>
      </c>
    </row>
    <row r="120" spans="1:10" x14ac:dyDescent="0.35">
      <c r="A120" s="1">
        <v>3059</v>
      </c>
      <c r="B120" s="1">
        <v>2055</v>
      </c>
      <c r="C120" s="1" t="s">
        <v>123</v>
      </c>
      <c r="D120" s="2">
        <v>45719</v>
      </c>
      <c r="E120" s="1" t="s">
        <v>76</v>
      </c>
      <c r="F120" s="1" t="s">
        <v>192</v>
      </c>
      <c r="G120">
        <v>5</v>
      </c>
      <c r="H120">
        <v>7.52</v>
      </c>
      <c r="I120">
        <v>4.66</v>
      </c>
      <c r="J120" s="7">
        <f t="shared" si="1"/>
        <v>2.8599999999999994</v>
      </c>
    </row>
    <row r="121" spans="1:10" x14ac:dyDescent="0.35">
      <c r="A121" s="1">
        <v>3059</v>
      </c>
      <c r="B121" s="1">
        <v>2055</v>
      </c>
      <c r="C121" s="1" t="s">
        <v>123</v>
      </c>
      <c r="D121" s="2">
        <v>45719</v>
      </c>
      <c r="E121" s="1" t="s">
        <v>21</v>
      </c>
      <c r="F121" s="1" t="s">
        <v>151</v>
      </c>
      <c r="G121">
        <v>15</v>
      </c>
      <c r="H121">
        <v>36.170000000000009</v>
      </c>
      <c r="I121">
        <v>22.810000000000002</v>
      </c>
      <c r="J121" s="7">
        <f t="shared" si="1"/>
        <v>13.360000000000007</v>
      </c>
    </row>
    <row r="122" spans="1:10" x14ac:dyDescent="0.35">
      <c r="A122" s="1">
        <v>3059</v>
      </c>
      <c r="B122" s="1">
        <v>2055</v>
      </c>
      <c r="C122" s="1" t="s">
        <v>123</v>
      </c>
      <c r="D122" s="2">
        <v>45719</v>
      </c>
      <c r="E122" s="1" t="s">
        <v>11</v>
      </c>
      <c r="F122" s="1" t="s">
        <v>149</v>
      </c>
      <c r="G122">
        <v>10</v>
      </c>
      <c r="H122">
        <v>17.52</v>
      </c>
      <c r="I122">
        <v>10.31</v>
      </c>
      <c r="J122" s="7">
        <f t="shared" si="1"/>
        <v>7.2099999999999991</v>
      </c>
    </row>
    <row r="123" spans="1:10" x14ac:dyDescent="0.35">
      <c r="A123" s="1">
        <v>3060</v>
      </c>
      <c r="B123" s="1">
        <v>2046</v>
      </c>
      <c r="C123" s="1" t="s">
        <v>124</v>
      </c>
      <c r="D123" s="2">
        <v>45719</v>
      </c>
      <c r="E123" s="1" t="s">
        <v>75</v>
      </c>
      <c r="F123" s="1" t="s">
        <v>176</v>
      </c>
      <c r="G123">
        <v>45</v>
      </c>
      <c r="H123">
        <v>50.420000000000009</v>
      </c>
      <c r="I123">
        <v>31.06</v>
      </c>
      <c r="J123" s="7">
        <f t="shared" si="1"/>
        <v>19.36000000000001</v>
      </c>
    </row>
    <row r="124" spans="1:10" x14ac:dyDescent="0.35">
      <c r="A124" s="1">
        <v>3061</v>
      </c>
      <c r="B124" s="1">
        <v>2024</v>
      </c>
      <c r="C124" s="1" t="s">
        <v>125</v>
      </c>
      <c r="D124" s="2">
        <v>45719</v>
      </c>
      <c r="E124" s="1" t="s">
        <v>3</v>
      </c>
      <c r="F124" s="1" t="s">
        <v>145</v>
      </c>
      <c r="G124">
        <v>15</v>
      </c>
      <c r="H124">
        <v>7.52</v>
      </c>
      <c r="I124">
        <v>4.66</v>
      </c>
      <c r="J124" s="7">
        <f t="shared" si="1"/>
        <v>2.8599999999999994</v>
      </c>
    </row>
    <row r="125" spans="1:10" x14ac:dyDescent="0.35">
      <c r="A125" s="1">
        <v>3061</v>
      </c>
      <c r="B125" s="1">
        <v>2024</v>
      </c>
      <c r="C125" s="1" t="s">
        <v>125</v>
      </c>
      <c r="D125" s="2">
        <v>45719</v>
      </c>
      <c r="E125" s="1" t="s">
        <v>2</v>
      </c>
      <c r="F125" s="1" t="s">
        <v>179</v>
      </c>
      <c r="G125">
        <v>50</v>
      </c>
      <c r="H125">
        <v>50.02</v>
      </c>
      <c r="I125">
        <v>29.51</v>
      </c>
      <c r="J125" s="7">
        <f t="shared" si="1"/>
        <v>20.51</v>
      </c>
    </row>
    <row r="126" spans="1:10" x14ac:dyDescent="0.35">
      <c r="A126" s="1">
        <v>3061</v>
      </c>
      <c r="B126" s="1">
        <v>2024</v>
      </c>
      <c r="C126" s="1" t="s">
        <v>125</v>
      </c>
      <c r="D126" s="2">
        <v>45719</v>
      </c>
      <c r="E126" s="1" t="s">
        <v>10</v>
      </c>
      <c r="F126" s="1" t="s">
        <v>155</v>
      </c>
      <c r="G126">
        <v>40</v>
      </c>
      <c r="H126">
        <v>70.02</v>
      </c>
      <c r="I126">
        <v>44.410000000000004</v>
      </c>
      <c r="J126" s="7">
        <f t="shared" si="1"/>
        <v>25.609999999999992</v>
      </c>
    </row>
    <row r="127" spans="1:10" x14ac:dyDescent="0.35">
      <c r="A127" s="1">
        <v>3061</v>
      </c>
      <c r="B127" s="1">
        <v>2024</v>
      </c>
      <c r="C127" s="1" t="s">
        <v>125</v>
      </c>
      <c r="D127" s="2">
        <v>45719</v>
      </c>
      <c r="E127" s="1" t="s">
        <v>0</v>
      </c>
      <c r="F127" s="1" t="s">
        <v>138</v>
      </c>
      <c r="G127">
        <v>15</v>
      </c>
      <c r="H127">
        <v>25.52</v>
      </c>
      <c r="I127">
        <v>16.360000000000003</v>
      </c>
      <c r="J127" s="7">
        <f t="shared" si="1"/>
        <v>9.1599999999999966</v>
      </c>
    </row>
    <row r="128" spans="1:10" x14ac:dyDescent="0.35">
      <c r="A128" s="1">
        <v>3061</v>
      </c>
      <c r="B128" s="1">
        <v>2024</v>
      </c>
      <c r="C128" s="1" t="s">
        <v>125</v>
      </c>
      <c r="D128" s="2">
        <v>45719</v>
      </c>
      <c r="E128" s="1" t="s">
        <v>25</v>
      </c>
      <c r="F128" s="1" t="s">
        <v>167</v>
      </c>
      <c r="G128">
        <v>40</v>
      </c>
      <c r="H128">
        <v>50.02</v>
      </c>
      <c r="I128">
        <v>29.610000000000003</v>
      </c>
      <c r="J128" s="7">
        <f t="shared" si="1"/>
        <v>20.41</v>
      </c>
    </row>
    <row r="129" spans="1:10" x14ac:dyDescent="0.35">
      <c r="A129" s="1">
        <v>3061</v>
      </c>
      <c r="B129" s="1">
        <v>2024</v>
      </c>
      <c r="C129" s="1" t="s">
        <v>125</v>
      </c>
      <c r="D129" s="2">
        <v>45719</v>
      </c>
      <c r="E129" s="1" t="s">
        <v>48</v>
      </c>
      <c r="F129" s="1" t="s">
        <v>154</v>
      </c>
      <c r="G129">
        <v>40</v>
      </c>
      <c r="H129">
        <v>30.02</v>
      </c>
      <c r="I129">
        <v>19.610000000000003</v>
      </c>
      <c r="J129" s="7">
        <f t="shared" si="1"/>
        <v>10.409999999999997</v>
      </c>
    </row>
    <row r="130" spans="1:10" x14ac:dyDescent="0.35">
      <c r="A130" s="1">
        <v>3061</v>
      </c>
      <c r="B130" s="1">
        <v>2024</v>
      </c>
      <c r="C130" s="1" t="s">
        <v>125</v>
      </c>
      <c r="D130" s="2">
        <v>45719</v>
      </c>
      <c r="E130" s="1" t="s">
        <v>48</v>
      </c>
      <c r="F130" s="1" t="s">
        <v>154</v>
      </c>
      <c r="G130">
        <v>10</v>
      </c>
      <c r="H130">
        <v>7.52</v>
      </c>
      <c r="I130">
        <v>4.91</v>
      </c>
      <c r="J130" s="7">
        <f t="shared" si="1"/>
        <v>2.6099999999999994</v>
      </c>
    </row>
    <row r="131" spans="1:10" x14ac:dyDescent="0.35">
      <c r="A131" s="1">
        <v>3061</v>
      </c>
      <c r="B131" s="1">
        <v>2024</v>
      </c>
      <c r="C131" s="1" t="s">
        <v>125</v>
      </c>
      <c r="D131" s="2">
        <v>45719</v>
      </c>
      <c r="E131" s="1" t="s">
        <v>28</v>
      </c>
      <c r="F131" s="1" t="s">
        <v>205</v>
      </c>
      <c r="G131">
        <v>40</v>
      </c>
      <c r="H131">
        <v>38.42</v>
      </c>
      <c r="I131">
        <v>25.21</v>
      </c>
      <c r="J131" s="7">
        <f t="shared" ref="J131:J194" si="2">H131-I131</f>
        <v>13.21</v>
      </c>
    </row>
    <row r="132" spans="1:10" x14ac:dyDescent="0.35">
      <c r="A132" s="1">
        <v>3062</v>
      </c>
      <c r="B132" s="1">
        <v>2088</v>
      </c>
      <c r="C132" s="1" t="s">
        <v>126</v>
      </c>
      <c r="D132" s="2">
        <v>45719</v>
      </c>
      <c r="E132" s="1" t="s">
        <v>66</v>
      </c>
      <c r="F132" s="1" t="s">
        <v>169</v>
      </c>
      <c r="G132">
        <v>15</v>
      </c>
      <c r="H132">
        <v>16.82</v>
      </c>
      <c r="I132">
        <v>9.91</v>
      </c>
      <c r="J132" s="7">
        <f t="shared" si="2"/>
        <v>6.91</v>
      </c>
    </row>
    <row r="133" spans="1:10" x14ac:dyDescent="0.35">
      <c r="A133" s="1">
        <v>3062</v>
      </c>
      <c r="B133" s="1">
        <v>2088</v>
      </c>
      <c r="C133" s="1" t="s">
        <v>126</v>
      </c>
      <c r="D133" s="2">
        <v>45719</v>
      </c>
      <c r="E133" s="1" t="s">
        <v>50</v>
      </c>
      <c r="F133" s="1" t="s">
        <v>194</v>
      </c>
      <c r="G133">
        <v>30</v>
      </c>
      <c r="H133">
        <v>28.22</v>
      </c>
      <c r="I133">
        <v>18.310000000000002</v>
      </c>
      <c r="J133" s="7">
        <f t="shared" si="2"/>
        <v>9.9099999999999966</v>
      </c>
    </row>
    <row r="134" spans="1:10" x14ac:dyDescent="0.35">
      <c r="A134" s="1">
        <v>3063</v>
      </c>
      <c r="B134" s="1">
        <v>2038</v>
      </c>
      <c r="C134" s="1" t="s">
        <v>127</v>
      </c>
      <c r="D134" s="2">
        <v>45719</v>
      </c>
      <c r="E134" s="1" t="s">
        <v>45</v>
      </c>
      <c r="F134" s="1" t="s">
        <v>203</v>
      </c>
      <c r="G134">
        <v>10</v>
      </c>
      <c r="H134">
        <v>14.719999999999999</v>
      </c>
      <c r="I134">
        <v>9.61</v>
      </c>
      <c r="J134" s="7">
        <f t="shared" si="2"/>
        <v>5.1099999999999994</v>
      </c>
    </row>
    <row r="135" spans="1:10" x14ac:dyDescent="0.35">
      <c r="A135" s="1">
        <v>3063</v>
      </c>
      <c r="B135" s="1">
        <v>2038</v>
      </c>
      <c r="C135" s="1" t="s">
        <v>127</v>
      </c>
      <c r="D135" s="2">
        <v>45719</v>
      </c>
      <c r="E135" s="1" t="s">
        <v>35</v>
      </c>
      <c r="F135" s="1" t="s">
        <v>180</v>
      </c>
      <c r="G135">
        <v>5</v>
      </c>
      <c r="H135">
        <v>3.57</v>
      </c>
      <c r="I135">
        <v>2.2599999999999998</v>
      </c>
      <c r="J135" s="7">
        <f t="shared" si="2"/>
        <v>1.31</v>
      </c>
    </row>
    <row r="136" spans="1:10" x14ac:dyDescent="0.35">
      <c r="A136" s="1">
        <v>3063</v>
      </c>
      <c r="B136" s="1">
        <v>2038</v>
      </c>
      <c r="C136" s="1" t="s">
        <v>127</v>
      </c>
      <c r="D136" s="2">
        <v>45719</v>
      </c>
      <c r="E136" s="1" t="s">
        <v>53</v>
      </c>
      <c r="F136" s="1" t="s">
        <v>146</v>
      </c>
      <c r="G136">
        <v>15</v>
      </c>
      <c r="H136">
        <v>29.87</v>
      </c>
      <c r="I136">
        <v>18.46</v>
      </c>
      <c r="J136" s="7">
        <f t="shared" si="2"/>
        <v>11.41</v>
      </c>
    </row>
    <row r="137" spans="1:10" x14ac:dyDescent="0.35">
      <c r="A137" s="1">
        <v>3064</v>
      </c>
      <c r="B137" s="1">
        <v>2006</v>
      </c>
      <c r="C137" s="1" t="s">
        <v>128</v>
      </c>
      <c r="D137" s="2">
        <v>45719</v>
      </c>
      <c r="E137" s="1" t="s">
        <v>34</v>
      </c>
      <c r="F137" s="1" t="s">
        <v>206</v>
      </c>
      <c r="G137">
        <v>15</v>
      </c>
      <c r="H137">
        <v>34.82</v>
      </c>
      <c r="I137">
        <v>20.560000000000002</v>
      </c>
      <c r="J137" s="7">
        <f t="shared" si="2"/>
        <v>14.259999999999998</v>
      </c>
    </row>
    <row r="138" spans="1:10" x14ac:dyDescent="0.35">
      <c r="A138" s="1">
        <v>3064</v>
      </c>
      <c r="B138" s="1">
        <v>2006</v>
      </c>
      <c r="C138" s="1" t="s">
        <v>128</v>
      </c>
      <c r="D138" s="2">
        <v>45719</v>
      </c>
      <c r="E138" s="1" t="s">
        <v>67</v>
      </c>
      <c r="F138" s="1" t="s">
        <v>207</v>
      </c>
      <c r="G138">
        <v>50</v>
      </c>
      <c r="H138">
        <v>40.520000000000003</v>
      </c>
      <c r="I138">
        <v>25.01</v>
      </c>
      <c r="J138" s="7">
        <f t="shared" si="2"/>
        <v>15.510000000000002</v>
      </c>
    </row>
    <row r="139" spans="1:10" x14ac:dyDescent="0.35">
      <c r="A139" s="1">
        <v>3065</v>
      </c>
      <c r="B139" s="1">
        <v>2067</v>
      </c>
      <c r="C139" s="1" t="s">
        <v>129</v>
      </c>
      <c r="D139" s="2">
        <v>45719</v>
      </c>
      <c r="E139" s="1" t="s">
        <v>73</v>
      </c>
      <c r="F139" s="1" t="s">
        <v>208</v>
      </c>
      <c r="G139">
        <v>20</v>
      </c>
      <c r="H139">
        <v>15.42</v>
      </c>
      <c r="I139">
        <v>10.209999999999999</v>
      </c>
      <c r="J139" s="7">
        <f t="shared" si="2"/>
        <v>5.2100000000000009</v>
      </c>
    </row>
    <row r="140" spans="1:10" x14ac:dyDescent="0.35">
      <c r="A140" s="1">
        <v>3065</v>
      </c>
      <c r="B140" s="1">
        <v>2067</v>
      </c>
      <c r="C140" s="1" t="s">
        <v>129</v>
      </c>
      <c r="D140" s="2">
        <v>45719</v>
      </c>
      <c r="E140" s="1" t="s">
        <v>48</v>
      </c>
      <c r="F140" s="1" t="s">
        <v>154</v>
      </c>
      <c r="G140">
        <v>45</v>
      </c>
      <c r="H140">
        <v>33.770000000000003</v>
      </c>
      <c r="I140">
        <v>22.060000000000002</v>
      </c>
      <c r="J140" s="7">
        <f t="shared" si="2"/>
        <v>11.71</v>
      </c>
    </row>
    <row r="141" spans="1:10" x14ac:dyDescent="0.35">
      <c r="A141" s="1">
        <v>3065</v>
      </c>
      <c r="B141" s="1">
        <v>2067</v>
      </c>
      <c r="C141" s="1" t="s">
        <v>129</v>
      </c>
      <c r="D141" s="2">
        <v>45719</v>
      </c>
      <c r="E141" s="1" t="s">
        <v>54</v>
      </c>
      <c r="F141" s="1" t="s">
        <v>198</v>
      </c>
      <c r="G141">
        <v>25</v>
      </c>
      <c r="H141">
        <v>45.52</v>
      </c>
      <c r="I141">
        <v>28.010000000000005</v>
      </c>
      <c r="J141" s="7">
        <f t="shared" si="2"/>
        <v>17.509999999999998</v>
      </c>
    </row>
    <row r="142" spans="1:10" x14ac:dyDescent="0.35">
      <c r="A142" s="1">
        <v>3065</v>
      </c>
      <c r="B142" s="1">
        <v>2067</v>
      </c>
      <c r="C142" s="1" t="s">
        <v>129</v>
      </c>
      <c r="D142" s="2">
        <v>45720</v>
      </c>
      <c r="E142" s="1" t="s">
        <v>17</v>
      </c>
      <c r="F142" s="1" t="s">
        <v>197</v>
      </c>
      <c r="G142">
        <v>15</v>
      </c>
      <c r="H142">
        <v>30.62</v>
      </c>
      <c r="I142">
        <v>20.110000000000003</v>
      </c>
      <c r="J142" s="7">
        <f t="shared" si="2"/>
        <v>10.509999999999998</v>
      </c>
    </row>
    <row r="143" spans="1:10" x14ac:dyDescent="0.35">
      <c r="A143" s="1">
        <v>3066</v>
      </c>
      <c r="B143" s="1">
        <v>2047</v>
      </c>
      <c r="C143" s="1" t="s">
        <v>130</v>
      </c>
      <c r="D143" s="2">
        <v>45720</v>
      </c>
      <c r="E143" s="1" t="s">
        <v>57</v>
      </c>
      <c r="F143" s="1" t="s">
        <v>199</v>
      </c>
      <c r="G143">
        <v>10</v>
      </c>
      <c r="H143">
        <v>7.72</v>
      </c>
      <c r="I143">
        <v>4.6100000000000003</v>
      </c>
      <c r="J143" s="7">
        <f t="shared" si="2"/>
        <v>3.1099999999999994</v>
      </c>
    </row>
    <row r="144" spans="1:10" x14ac:dyDescent="0.35">
      <c r="A144" s="1">
        <v>3067</v>
      </c>
      <c r="B144" s="1">
        <v>2072</v>
      </c>
      <c r="C144" s="1" t="s">
        <v>131</v>
      </c>
      <c r="D144" s="2">
        <v>45720</v>
      </c>
      <c r="E144" s="1" t="s">
        <v>0</v>
      </c>
      <c r="F144" s="1" t="s">
        <v>138</v>
      </c>
      <c r="G144">
        <v>50</v>
      </c>
      <c r="H144">
        <v>85.02</v>
      </c>
      <c r="I144">
        <v>54.510000000000005</v>
      </c>
      <c r="J144" s="7">
        <f t="shared" si="2"/>
        <v>30.509999999999991</v>
      </c>
    </row>
    <row r="145" spans="1:10" x14ac:dyDescent="0.35">
      <c r="A145" s="1">
        <v>3067</v>
      </c>
      <c r="B145" s="1">
        <v>2072</v>
      </c>
      <c r="C145" s="1" t="s">
        <v>131</v>
      </c>
      <c r="D145" s="2">
        <v>45720</v>
      </c>
      <c r="E145" s="1" t="s">
        <v>39</v>
      </c>
      <c r="F145" s="1" t="s">
        <v>164</v>
      </c>
      <c r="G145">
        <v>50</v>
      </c>
      <c r="H145">
        <v>100.51999999999998</v>
      </c>
      <c r="I145">
        <v>62.51</v>
      </c>
      <c r="J145" s="7">
        <f t="shared" si="2"/>
        <v>38.009999999999984</v>
      </c>
    </row>
    <row r="146" spans="1:10" x14ac:dyDescent="0.35">
      <c r="A146" s="1">
        <v>3067</v>
      </c>
      <c r="B146" s="1">
        <v>2072</v>
      </c>
      <c r="C146" s="1" t="s">
        <v>131</v>
      </c>
      <c r="D146" s="2">
        <v>45720</v>
      </c>
      <c r="E146" s="1" t="s">
        <v>32</v>
      </c>
      <c r="F146" s="1" t="s">
        <v>200</v>
      </c>
      <c r="G146">
        <v>30</v>
      </c>
      <c r="H146">
        <v>44.720000000000006</v>
      </c>
      <c r="I146">
        <v>28.51</v>
      </c>
      <c r="J146" s="7">
        <f t="shared" si="2"/>
        <v>16.210000000000004</v>
      </c>
    </row>
    <row r="147" spans="1:10" x14ac:dyDescent="0.35">
      <c r="A147" s="1">
        <v>3067</v>
      </c>
      <c r="B147" s="1">
        <v>2072</v>
      </c>
      <c r="C147" s="1" t="s">
        <v>131</v>
      </c>
      <c r="D147" s="2">
        <v>45720</v>
      </c>
      <c r="E147" s="1" t="s">
        <v>70</v>
      </c>
      <c r="F147" s="1" t="s">
        <v>209</v>
      </c>
      <c r="G147">
        <v>5</v>
      </c>
      <c r="H147">
        <v>12.52</v>
      </c>
      <c r="I147">
        <v>7.86</v>
      </c>
      <c r="J147" s="7">
        <f t="shared" si="2"/>
        <v>4.6599999999999993</v>
      </c>
    </row>
    <row r="148" spans="1:10" x14ac:dyDescent="0.35">
      <c r="A148" s="1">
        <v>3067</v>
      </c>
      <c r="B148" s="1">
        <v>2072</v>
      </c>
      <c r="C148" s="1" t="s">
        <v>131</v>
      </c>
      <c r="D148" s="2">
        <v>45720</v>
      </c>
      <c r="E148" s="1" t="s">
        <v>40</v>
      </c>
      <c r="F148" s="1" t="s">
        <v>210</v>
      </c>
      <c r="G148">
        <v>20</v>
      </c>
      <c r="H148">
        <v>46.220000000000006</v>
      </c>
      <c r="I148">
        <v>29.41</v>
      </c>
      <c r="J148" s="7">
        <f t="shared" si="2"/>
        <v>16.810000000000006</v>
      </c>
    </row>
    <row r="149" spans="1:10" x14ac:dyDescent="0.35">
      <c r="A149" s="1">
        <v>3067</v>
      </c>
      <c r="B149" s="1">
        <v>2072</v>
      </c>
      <c r="C149" s="1" t="s">
        <v>131</v>
      </c>
      <c r="D149" s="2">
        <v>45720</v>
      </c>
      <c r="E149" s="1" t="s">
        <v>55</v>
      </c>
      <c r="F149" s="1" t="s">
        <v>173</v>
      </c>
      <c r="G149">
        <v>40</v>
      </c>
      <c r="H149">
        <v>82.42</v>
      </c>
      <c r="I149">
        <v>49.61</v>
      </c>
      <c r="J149" s="7">
        <f t="shared" si="2"/>
        <v>32.81</v>
      </c>
    </row>
    <row r="150" spans="1:10" x14ac:dyDescent="0.35">
      <c r="A150" s="1">
        <v>3068</v>
      </c>
      <c r="B150" s="1">
        <v>2046</v>
      </c>
      <c r="C150" s="1" t="s">
        <v>132</v>
      </c>
      <c r="D150" s="2">
        <v>45720</v>
      </c>
      <c r="E150" s="1" t="s">
        <v>5</v>
      </c>
      <c r="F150" s="1" t="s">
        <v>170</v>
      </c>
      <c r="G150">
        <v>30</v>
      </c>
      <c r="H150">
        <v>60.02</v>
      </c>
      <c r="I150">
        <v>38.71</v>
      </c>
      <c r="J150" s="7">
        <f t="shared" si="2"/>
        <v>21.310000000000002</v>
      </c>
    </row>
    <row r="151" spans="1:10" x14ac:dyDescent="0.35">
      <c r="A151" s="1">
        <v>3068</v>
      </c>
      <c r="B151" s="1">
        <v>2046</v>
      </c>
      <c r="C151" s="1" t="s">
        <v>132</v>
      </c>
      <c r="D151" s="2">
        <v>45720</v>
      </c>
      <c r="E151" s="1" t="s">
        <v>37</v>
      </c>
      <c r="F151" s="1" t="s">
        <v>185</v>
      </c>
      <c r="G151">
        <v>5</v>
      </c>
      <c r="H151">
        <v>4.8199999999999994</v>
      </c>
      <c r="I151">
        <v>2.8599999999999994</v>
      </c>
      <c r="J151" s="7">
        <f t="shared" si="2"/>
        <v>1.96</v>
      </c>
    </row>
    <row r="152" spans="1:10" x14ac:dyDescent="0.35">
      <c r="A152" s="1">
        <v>3068</v>
      </c>
      <c r="B152" s="1">
        <v>2046</v>
      </c>
      <c r="C152" s="1" t="s">
        <v>132</v>
      </c>
      <c r="D152" s="2">
        <v>45720</v>
      </c>
      <c r="E152" s="1" t="s">
        <v>48</v>
      </c>
      <c r="F152" s="1" t="s">
        <v>154</v>
      </c>
      <c r="G152">
        <v>20</v>
      </c>
      <c r="H152">
        <v>15.02</v>
      </c>
      <c r="I152">
        <v>9.81</v>
      </c>
      <c r="J152" s="7">
        <f t="shared" si="2"/>
        <v>5.2099999999999991</v>
      </c>
    </row>
    <row r="153" spans="1:10" x14ac:dyDescent="0.35">
      <c r="A153" s="1">
        <v>3068</v>
      </c>
      <c r="B153" s="1">
        <v>2046</v>
      </c>
      <c r="C153" s="1" t="s">
        <v>132</v>
      </c>
      <c r="D153" s="2">
        <v>45720</v>
      </c>
      <c r="E153" s="1" t="s">
        <v>36</v>
      </c>
      <c r="F153" s="1" t="s">
        <v>153</v>
      </c>
      <c r="G153">
        <v>40</v>
      </c>
      <c r="H153">
        <v>98.42</v>
      </c>
      <c r="I153">
        <v>59.21</v>
      </c>
      <c r="J153" s="7">
        <f t="shared" si="2"/>
        <v>39.21</v>
      </c>
    </row>
    <row r="154" spans="1:10" x14ac:dyDescent="0.35">
      <c r="A154" s="1">
        <v>3068</v>
      </c>
      <c r="B154" s="1">
        <v>2046</v>
      </c>
      <c r="C154" s="1" t="s">
        <v>132</v>
      </c>
      <c r="D154" s="2">
        <v>45720</v>
      </c>
      <c r="E154" s="1" t="s">
        <v>24</v>
      </c>
      <c r="F154" s="1" t="s">
        <v>139</v>
      </c>
      <c r="G154">
        <v>40</v>
      </c>
      <c r="H154">
        <v>47.22</v>
      </c>
      <c r="I154">
        <v>29.610000000000003</v>
      </c>
      <c r="J154" s="7">
        <f t="shared" si="2"/>
        <v>17.609999999999996</v>
      </c>
    </row>
    <row r="155" spans="1:10" x14ac:dyDescent="0.35">
      <c r="A155" s="1">
        <v>3068</v>
      </c>
      <c r="B155" s="1">
        <v>2046</v>
      </c>
      <c r="C155" s="1" t="s">
        <v>132</v>
      </c>
      <c r="D155" s="2">
        <v>45720</v>
      </c>
      <c r="E155" s="1" t="s">
        <v>38</v>
      </c>
      <c r="F155" s="1" t="s">
        <v>156</v>
      </c>
      <c r="G155">
        <v>5</v>
      </c>
      <c r="H155">
        <v>2.8699999999999997</v>
      </c>
      <c r="I155">
        <v>1.91</v>
      </c>
      <c r="J155" s="7">
        <f t="shared" si="2"/>
        <v>0.95999999999999974</v>
      </c>
    </row>
    <row r="156" spans="1:10" x14ac:dyDescent="0.35">
      <c r="A156" s="1">
        <v>3069</v>
      </c>
      <c r="B156" s="1">
        <v>2047</v>
      </c>
      <c r="C156" s="1" t="s">
        <v>133</v>
      </c>
      <c r="D156" s="2">
        <v>45720</v>
      </c>
      <c r="E156" s="1" t="s">
        <v>72</v>
      </c>
      <c r="F156" s="1" t="s">
        <v>204</v>
      </c>
      <c r="G156">
        <v>35</v>
      </c>
      <c r="H156">
        <v>28.02</v>
      </c>
      <c r="I156">
        <v>18.21</v>
      </c>
      <c r="J156" s="7">
        <f t="shared" si="2"/>
        <v>9.8099999999999987</v>
      </c>
    </row>
    <row r="157" spans="1:10" x14ac:dyDescent="0.35">
      <c r="A157" s="1">
        <v>3069</v>
      </c>
      <c r="B157" s="1">
        <v>2047</v>
      </c>
      <c r="C157" s="1" t="s">
        <v>133</v>
      </c>
      <c r="D157" s="2">
        <v>45720</v>
      </c>
      <c r="E157" s="1" t="s">
        <v>4</v>
      </c>
      <c r="F157" s="1" t="s">
        <v>162</v>
      </c>
      <c r="G157">
        <v>50</v>
      </c>
      <c r="H157">
        <v>100.02</v>
      </c>
      <c r="I157">
        <v>58.51</v>
      </c>
      <c r="J157" s="7">
        <f t="shared" si="2"/>
        <v>41.51</v>
      </c>
    </row>
    <row r="158" spans="1:10" x14ac:dyDescent="0.35">
      <c r="A158" s="1">
        <v>3069</v>
      </c>
      <c r="B158" s="1">
        <v>2047</v>
      </c>
      <c r="C158" s="1" t="s">
        <v>133</v>
      </c>
      <c r="D158" s="2">
        <v>45720</v>
      </c>
      <c r="E158" s="1" t="s">
        <v>42</v>
      </c>
      <c r="F158" s="1" t="s">
        <v>211</v>
      </c>
      <c r="G158">
        <v>10</v>
      </c>
      <c r="H158">
        <v>19.419999999999998</v>
      </c>
      <c r="I158">
        <v>12.01</v>
      </c>
      <c r="J158" s="7">
        <f t="shared" si="2"/>
        <v>7.4099999999999984</v>
      </c>
    </row>
    <row r="159" spans="1:10" x14ac:dyDescent="0.35">
      <c r="A159" s="1">
        <v>3069</v>
      </c>
      <c r="B159" s="1">
        <v>2047</v>
      </c>
      <c r="C159" s="1" t="s">
        <v>133</v>
      </c>
      <c r="D159" s="2">
        <v>45720</v>
      </c>
      <c r="E159" s="1" t="s">
        <v>62</v>
      </c>
      <c r="F159" s="1" t="s">
        <v>212</v>
      </c>
      <c r="G159">
        <v>45</v>
      </c>
      <c r="H159">
        <v>46.370000000000005</v>
      </c>
      <c r="I159">
        <v>28.360000000000003</v>
      </c>
      <c r="J159" s="7">
        <f t="shared" si="2"/>
        <v>18.010000000000002</v>
      </c>
    </row>
    <row r="160" spans="1:10" x14ac:dyDescent="0.35">
      <c r="A160" s="1">
        <v>3069</v>
      </c>
      <c r="B160" s="1">
        <v>2047</v>
      </c>
      <c r="C160" s="1" t="s">
        <v>133</v>
      </c>
      <c r="D160" s="2">
        <v>45720</v>
      </c>
      <c r="E160" s="1" t="s">
        <v>63</v>
      </c>
      <c r="F160" s="1" t="s">
        <v>183</v>
      </c>
      <c r="G160">
        <v>40</v>
      </c>
      <c r="H160">
        <v>45.62</v>
      </c>
      <c r="I160">
        <v>28.01</v>
      </c>
      <c r="J160" s="7">
        <f t="shared" si="2"/>
        <v>17.609999999999996</v>
      </c>
    </row>
    <row r="161" spans="1:10" x14ac:dyDescent="0.35">
      <c r="A161" s="1">
        <v>3069</v>
      </c>
      <c r="B161" s="1">
        <v>2047</v>
      </c>
      <c r="C161" s="1" t="s">
        <v>133</v>
      </c>
      <c r="D161" s="2">
        <v>45720</v>
      </c>
      <c r="E161" s="1" t="s">
        <v>27</v>
      </c>
      <c r="F161" s="1" t="s">
        <v>213</v>
      </c>
      <c r="G161">
        <v>40</v>
      </c>
      <c r="H161">
        <v>37.619999999999997</v>
      </c>
      <c r="I161">
        <v>23.61</v>
      </c>
      <c r="J161" s="7">
        <f t="shared" si="2"/>
        <v>14.009999999999998</v>
      </c>
    </row>
    <row r="162" spans="1:10" x14ac:dyDescent="0.35">
      <c r="A162" s="1">
        <v>3069</v>
      </c>
      <c r="B162" s="1">
        <v>2047</v>
      </c>
      <c r="C162" s="1" t="s">
        <v>133</v>
      </c>
      <c r="D162" s="2">
        <v>45720</v>
      </c>
      <c r="E162" s="1" t="s">
        <v>40</v>
      </c>
      <c r="F162" s="1" t="s">
        <v>210</v>
      </c>
      <c r="G162">
        <v>35</v>
      </c>
      <c r="H162">
        <v>80.87</v>
      </c>
      <c r="I162">
        <v>51.459999999999994</v>
      </c>
      <c r="J162" s="7">
        <f t="shared" si="2"/>
        <v>29.410000000000011</v>
      </c>
    </row>
    <row r="163" spans="1:10" x14ac:dyDescent="0.35">
      <c r="A163" s="1">
        <v>3069</v>
      </c>
      <c r="B163" s="1">
        <v>2047</v>
      </c>
      <c r="C163" s="1" t="s">
        <v>133</v>
      </c>
      <c r="D163" s="2">
        <v>45720</v>
      </c>
      <c r="E163" s="1" t="s">
        <v>16</v>
      </c>
      <c r="F163" s="1" t="s">
        <v>175</v>
      </c>
      <c r="G163">
        <v>25</v>
      </c>
      <c r="H163">
        <v>25.27</v>
      </c>
      <c r="I163">
        <v>15.51</v>
      </c>
      <c r="J163" s="7">
        <f t="shared" si="2"/>
        <v>9.76</v>
      </c>
    </row>
    <row r="164" spans="1:10" x14ac:dyDescent="0.35">
      <c r="A164" s="1">
        <v>3069</v>
      </c>
      <c r="B164" s="1">
        <v>2047</v>
      </c>
      <c r="C164" s="1" t="s">
        <v>133</v>
      </c>
      <c r="D164" s="2">
        <v>45720</v>
      </c>
      <c r="E164" s="1" t="s">
        <v>1</v>
      </c>
      <c r="F164" s="1" t="s">
        <v>160</v>
      </c>
      <c r="G164">
        <v>50</v>
      </c>
      <c r="H164">
        <v>140.02000000000001</v>
      </c>
      <c r="I164">
        <v>88.01</v>
      </c>
      <c r="J164" s="7">
        <f t="shared" si="2"/>
        <v>52.010000000000005</v>
      </c>
    </row>
    <row r="165" spans="1:10" x14ac:dyDescent="0.35">
      <c r="A165" s="1">
        <v>3069</v>
      </c>
      <c r="B165" s="1">
        <v>2047</v>
      </c>
      <c r="C165" s="1" t="s">
        <v>133</v>
      </c>
      <c r="D165" s="2">
        <v>45720</v>
      </c>
      <c r="E165" s="1" t="s">
        <v>3</v>
      </c>
      <c r="F165" s="1" t="s">
        <v>145</v>
      </c>
      <c r="G165">
        <v>40</v>
      </c>
      <c r="H165">
        <v>20.02</v>
      </c>
      <c r="I165">
        <v>12.41</v>
      </c>
      <c r="J165" s="7">
        <f t="shared" si="2"/>
        <v>7.6099999999999994</v>
      </c>
    </row>
    <row r="166" spans="1:10" x14ac:dyDescent="0.35">
      <c r="A166" s="1">
        <v>3069</v>
      </c>
      <c r="B166" s="1">
        <v>2047</v>
      </c>
      <c r="C166" s="1" t="s">
        <v>133</v>
      </c>
      <c r="D166" s="2">
        <v>45720</v>
      </c>
      <c r="E166" s="1" t="s">
        <v>18</v>
      </c>
      <c r="F166" s="1" t="s">
        <v>214</v>
      </c>
      <c r="G166">
        <v>5</v>
      </c>
      <c r="H166">
        <v>4.169999999999999</v>
      </c>
      <c r="I166">
        <v>2.71</v>
      </c>
      <c r="J166" s="7">
        <f t="shared" si="2"/>
        <v>1.4599999999999991</v>
      </c>
    </row>
    <row r="167" spans="1:10" x14ac:dyDescent="0.35">
      <c r="A167" s="1">
        <v>3069</v>
      </c>
      <c r="B167" s="1">
        <v>2047</v>
      </c>
      <c r="C167" s="1" t="s">
        <v>133</v>
      </c>
      <c r="D167" s="2">
        <v>45720</v>
      </c>
      <c r="E167" s="1" t="s">
        <v>25</v>
      </c>
      <c r="F167" s="1" t="s">
        <v>167</v>
      </c>
      <c r="G167">
        <v>50</v>
      </c>
      <c r="H167">
        <v>62.52</v>
      </c>
      <c r="I167">
        <v>37.01</v>
      </c>
      <c r="J167" s="7">
        <f t="shared" si="2"/>
        <v>25.510000000000005</v>
      </c>
    </row>
    <row r="168" spans="1:10" x14ac:dyDescent="0.35">
      <c r="A168" s="1">
        <v>3069</v>
      </c>
      <c r="B168" s="1">
        <v>2047</v>
      </c>
      <c r="C168" s="1" t="s">
        <v>133</v>
      </c>
      <c r="D168" s="2">
        <v>45720</v>
      </c>
      <c r="E168" s="1" t="s">
        <v>41</v>
      </c>
      <c r="F168" s="1" t="s">
        <v>158</v>
      </c>
      <c r="G168">
        <v>35</v>
      </c>
      <c r="H168">
        <v>33.270000000000003</v>
      </c>
      <c r="I168">
        <v>21.36</v>
      </c>
      <c r="J168" s="7">
        <f t="shared" si="2"/>
        <v>11.910000000000004</v>
      </c>
    </row>
    <row r="169" spans="1:10" x14ac:dyDescent="0.35">
      <c r="A169" s="1">
        <v>3069</v>
      </c>
      <c r="B169" s="1">
        <v>2047</v>
      </c>
      <c r="C169" s="1" t="s">
        <v>133</v>
      </c>
      <c r="D169" s="2">
        <v>45720</v>
      </c>
      <c r="E169" s="1" t="s">
        <v>48</v>
      </c>
      <c r="F169" s="1" t="s">
        <v>154</v>
      </c>
      <c r="G169">
        <v>20</v>
      </c>
      <c r="H169">
        <v>15.02</v>
      </c>
      <c r="I169">
        <v>9.81</v>
      </c>
      <c r="J169" s="7">
        <f t="shared" si="2"/>
        <v>5.2099999999999991</v>
      </c>
    </row>
    <row r="170" spans="1:10" x14ac:dyDescent="0.35">
      <c r="A170" s="1">
        <v>3069</v>
      </c>
      <c r="B170" s="1">
        <v>2047</v>
      </c>
      <c r="C170" s="1" t="s">
        <v>133</v>
      </c>
      <c r="D170" s="2">
        <v>45720</v>
      </c>
      <c r="E170" s="1" t="s">
        <v>18</v>
      </c>
      <c r="F170" s="1" t="s">
        <v>214</v>
      </c>
      <c r="G170">
        <v>15</v>
      </c>
      <c r="H170">
        <v>12.469999999999999</v>
      </c>
      <c r="I170">
        <v>8.1100000000000012</v>
      </c>
      <c r="J170" s="7">
        <f t="shared" si="2"/>
        <v>4.3599999999999977</v>
      </c>
    </row>
    <row r="171" spans="1:10" x14ac:dyDescent="0.35">
      <c r="A171" s="1">
        <v>3069</v>
      </c>
      <c r="B171" s="1">
        <v>2047</v>
      </c>
      <c r="C171" s="1" t="s">
        <v>133</v>
      </c>
      <c r="D171" s="2">
        <v>45720</v>
      </c>
      <c r="E171" s="1" t="s">
        <v>48</v>
      </c>
      <c r="F171" s="1" t="s">
        <v>154</v>
      </c>
      <c r="G171">
        <v>40</v>
      </c>
      <c r="H171">
        <v>30.02</v>
      </c>
      <c r="I171">
        <v>19.610000000000003</v>
      </c>
      <c r="J171" s="7">
        <f t="shared" si="2"/>
        <v>10.409999999999997</v>
      </c>
    </row>
    <row r="172" spans="1:10" x14ac:dyDescent="0.35">
      <c r="A172" s="1">
        <v>3069</v>
      </c>
      <c r="B172" s="1">
        <v>2047</v>
      </c>
      <c r="C172" s="1" t="s">
        <v>133</v>
      </c>
      <c r="D172" s="2">
        <v>45720</v>
      </c>
      <c r="E172" s="1" t="s">
        <v>67</v>
      </c>
      <c r="F172" s="1" t="s">
        <v>207</v>
      </c>
      <c r="G172">
        <v>35</v>
      </c>
      <c r="H172">
        <v>28.37</v>
      </c>
      <c r="I172">
        <v>17.510000000000002</v>
      </c>
      <c r="J172" s="7">
        <f t="shared" si="2"/>
        <v>10.86</v>
      </c>
    </row>
    <row r="173" spans="1:10" x14ac:dyDescent="0.35">
      <c r="A173" s="1">
        <v>3069</v>
      </c>
      <c r="B173" s="1">
        <v>2047</v>
      </c>
      <c r="C173" s="1" t="s">
        <v>133</v>
      </c>
      <c r="D173" s="2">
        <v>45720</v>
      </c>
      <c r="E173" s="1" t="s">
        <v>56</v>
      </c>
      <c r="F173" s="1" t="s">
        <v>193</v>
      </c>
      <c r="G173">
        <v>10</v>
      </c>
      <c r="H173">
        <v>13.120000000000001</v>
      </c>
      <c r="I173">
        <v>7.71</v>
      </c>
      <c r="J173" s="7">
        <f t="shared" si="2"/>
        <v>5.410000000000001</v>
      </c>
    </row>
    <row r="174" spans="1:10" x14ac:dyDescent="0.35">
      <c r="A174" s="1">
        <v>3069</v>
      </c>
      <c r="B174" s="1">
        <v>2047</v>
      </c>
      <c r="C174" s="1" t="s">
        <v>133</v>
      </c>
      <c r="D174" s="2">
        <v>45720</v>
      </c>
      <c r="E174" s="1" t="s">
        <v>64</v>
      </c>
      <c r="F174" s="1" t="s">
        <v>190</v>
      </c>
      <c r="G174">
        <v>20</v>
      </c>
      <c r="H174">
        <v>46.02</v>
      </c>
      <c r="I174">
        <v>30.41</v>
      </c>
      <c r="J174" s="7">
        <f t="shared" si="2"/>
        <v>15.610000000000003</v>
      </c>
    </row>
    <row r="175" spans="1:10" x14ac:dyDescent="0.35">
      <c r="A175" s="1">
        <v>3069</v>
      </c>
      <c r="B175" s="1">
        <v>2047</v>
      </c>
      <c r="C175" s="1" t="s">
        <v>133</v>
      </c>
      <c r="D175" s="2">
        <v>45720</v>
      </c>
      <c r="E175" s="1" t="s">
        <v>0</v>
      </c>
      <c r="F175" s="1" t="s">
        <v>138</v>
      </c>
      <c r="G175">
        <v>20</v>
      </c>
      <c r="H175">
        <v>34.020000000000003</v>
      </c>
      <c r="I175">
        <v>21.810000000000002</v>
      </c>
      <c r="J175" s="7">
        <f t="shared" si="2"/>
        <v>12.21</v>
      </c>
    </row>
    <row r="176" spans="1:10" x14ac:dyDescent="0.35">
      <c r="A176" s="1">
        <v>3069</v>
      </c>
      <c r="B176" s="1">
        <v>2047</v>
      </c>
      <c r="C176" s="1" t="s">
        <v>133</v>
      </c>
      <c r="D176" s="2">
        <v>45720</v>
      </c>
      <c r="E176" s="1" t="s">
        <v>62</v>
      </c>
      <c r="F176" s="1" t="s">
        <v>212</v>
      </c>
      <c r="G176">
        <v>5</v>
      </c>
      <c r="H176">
        <v>5.17</v>
      </c>
      <c r="I176">
        <v>3.1599999999999997</v>
      </c>
      <c r="J176" s="7">
        <f t="shared" si="2"/>
        <v>2.0100000000000002</v>
      </c>
    </row>
    <row r="177" spans="1:10" x14ac:dyDescent="0.35">
      <c r="A177" s="1">
        <v>3069</v>
      </c>
      <c r="B177" s="1">
        <v>2047</v>
      </c>
      <c r="C177" s="1" t="s">
        <v>133</v>
      </c>
      <c r="D177" s="2">
        <v>45720</v>
      </c>
      <c r="E177" s="1" t="s">
        <v>42</v>
      </c>
      <c r="F177" s="1" t="s">
        <v>211</v>
      </c>
      <c r="G177">
        <v>30</v>
      </c>
      <c r="H177">
        <v>58.22</v>
      </c>
      <c r="I177">
        <v>36.01</v>
      </c>
      <c r="J177" s="7">
        <f t="shared" si="2"/>
        <v>22.21</v>
      </c>
    </row>
    <row r="178" spans="1:10" x14ac:dyDescent="0.35">
      <c r="A178" s="1">
        <v>3069</v>
      </c>
      <c r="B178" s="1">
        <v>2047</v>
      </c>
      <c r="C178" s="1" t="s">
        <v>133</v>
      </c>
      <c r="D178" s="2">
        <v>45720</v>
      </c>
      <c r="E178" s="1" t="s">
        <v>48</v>
      </c>
      <c r="F178" s="1" t="s">
        <v>154</v>
      </c>
      <c r="G178">
        <v>45</v>
      </c>
      <c r="H178">
        <v>33.770000000000003</v>
      </c>
      <c r="I178">
        <v>22.060000000000002</v>
      </c>
      <c r="J178" s="7">
        <f t="shared" si="2"/>
        <v>11.71</v>
      </c>
    </row>
    <row r="179" spans="1:10" x14ac:dyDescent="0.35">
      <c r="A179" s="1">
        <v>3069</v>
      </c>
      <c r="B179" s="1">
        <v>2047</v>
      </c>
      <c r="C179" s="1" t="s">
        <v>133</v>
      </c>
      <c r="D179" s="2">
        <v>45720</v>
      </c>
      <c r="E179" s="1" t="s">
        <v>65</v>
      </c>
      <c r="F179" s="1" t="s">
        <v>141</v>
      </c>
      <c r="G179">
        <v>15</v>
      </c>
      <c r="H179">
        <v>21.319999999999997</v>
      </c>
      <c r="I179">
        <v>12.76</v>
      </c>
      <c r="J179" s="7">
        <f t="shared" si="2"/>
        <v>8.5599999999999969</v>
      </c>
    </row>
    <row r="180" spans="1:10" x14ac:dyDescent="0.35">
      <c r="A180" s="1">
        <v>3070</v>
      </c>
      <c r="B180" s="1">
        <v>2018</v>
      </c>
      <c r="C180" s="1" t="s">
        <v>134</v>
      </c>
      <c r="D180" s="2">
        <v>45720</v>
      </c>
      <c r="E180" s="1" t="s">
        <v>70</v>
      </c>
      <c r="F180" s="1" t="s">
        <v>209</v>
      </c>
      <c r="G180">
        <v>30</v>
      </c>
      <c r="H180">
        <v>75.02</v>
      </c>
      <c r="I180">
        <v>47.11</v>
      </c>
      <c r="J180" s="7">
        <f t="shared" si="2"/>
        <v>27.909999999999997</v>
      </c>
    </row>
    <row r="181" spans="1:10" x14ac:dyDescent="0.35">
      <c r="A181" s="1">
        <v>3070</v>
      </c>
      <c r="B181" s="1">
        <v>2018</v>
      </c>
      <c r="C181" s="1" t="s">
        <v>134</v>
      </c>
      <c r="D181" s="2">
        <v>45720</v>
      </c>
      <c r="E181" s="1" t="s">
        <v>13</v>
      </c>
      <c r="F181" s="1" t="s">
        <v>159</v>
      </c>
      <c r="G181">
        <v>35</v>
      </c>
      <c r="H181">
        <v>84.37</v>
      </c>
      <c r="I181">
        <v>53.91</v>
      </c>
      <c r="J181" s="7">
        <f t="shared" si="2"/>
        <v>30.460000000000008</v>
      </c>
    </row>
    <row r="182" spans="1:10" x14ac:dyDescent="0.35">
      <c r="A182" s="1">
        <v>3070</v>
      </c>
      <c r="B182" s="1">
        <v>2018</v>
      </c>
      <c r="C182" s="1" t="s">
        <v>134</v>
      </c>
      <c r="D182" s="2">
        <v>45720</v>
      </c>
      <c r="E182" s="1" t="s">
        <v>27</v>
      </c>
      <c r="F182" s="1" t="s">
        <v>213</v>
      </c>
      <c r="G182">
        <v>40</v>
      </c>
      <c r="H182">
        <v>37.619999999999997</v>
      </c>
      <c r="I182">
        <v>23.61</v>
      </c>
      <c r="J182" s="7">
        <f t="shared" si="2"/>
        <v>14.009999999999998</v>
      </c>
    </row>
    <row r="183" spans="1:10" x14ac:dyDescent="0.35">
      <c r="A183" s="1">
        <v>3070</v>
      </c>
      <c r="B183" s="1">
        <v>2018</v>
      </c>
      <c r="C183" s="1" t="s">
        <v>134</v>
      </c>
      <c r="D183" s="2">
        <v>45720</v>
      </c>
      <c r="E183" s="1" t="s">
        <v>24</v>
      </c>
      <c r="F183" s="1" t="s">
        <v>139</v>
      </c>
      <c r="G183">
        <v>10</v>
      </c>
      <c r="H183">
        <v>11.819999999999999</v>
      </c>
      <c r="I183">
        <v>7.41</v>
      </c>
      <c r="J183" s="7">
        <f t="shared" si="2"/>
        <v>4.4099999999999984</v>
      </c>
    </row>
    <row r="184" spans="1:10" x14ac:dyDescent="0.35">
      <c r="A184" s="1">
        <v>3071</v>
      </c>
      <c r="B184" s="1">
        <v>2044</v>
      </c>
      <c r="C184" s="1" t="s">
        <v>135</v>
      </c>
      <c r="D184" s="2">
        <v>45720</v>
      </c>
      <c r="E184" s="1" t="s">
        <v>38</v>
      </c>
      <c r="F184" s="1" t="s">
        <v>156</v>
      </c>
      <c r="G184">
        <v>5</v>
      </c>
      <c r="H184">
        <v>2.8699999999999997</v>
      </c>
      <c r="I184">
        <v>1.91</v>
      </c>
      <c r="J184" s="7">
        <f t="shared" si="2"/>
        <v>0.95999999999999974</v>
      </c>
    </row>
    <row r="185" spans="1:10" x14ac:dyDescent="0.35">
      <c r="A185" s="1">
        <v>3071</v>
      </c>
      <c r="B185" s="1">
        <v>2044</v>
      </c>
      <c r="C185" s="1" t="s">
        <v>135</v>
      </c>
      <c r="D185" s="2">
        <v>45720</v>
      </c>
      <c r="E185" s="1" t="s">
        <v>46</v>
      </c>
      <c r="F185" s="1" t="s">
        <v>152</v>
      </c>
      <c r="G185">
        <v>40</v>
      </c>
      <c r="H185">
        <v>47.22</v>
      </c>
      <c r="I185">
        <v>28.81</v>
      </c>
      <c r="J185" s="7">
        <f t="shared" si="2"/>
        <v>18.41</v>
      </c>
    </row>
    <row r="186" spans="1:10" x14ac:dyDescent="0.35">
      <c r="A186" s="1">
        <v>3071</v>
      </c>
      <c r="B186" s="1">
        <v>2044</v>
      </c>
      <c r="C186" s="1" t="s">
        <v>135</v>
      </c>
      <c r="D186" s="2">
        <v>45720</v>
      </c>
      <c r="E186" s="1" t="s">
        <v>34</v>
      </c>
      <c r="F186" s="1" t="s">
        <v>206</v>
      </c>
      <c r="G186">
        <v>20</v>
      </c>
      <c r="H186">
        <v>46.42</v>
      </c>
      <c r="I186">
        <v>27.410000000000004</v>
      </c>
      <c r="J186" s="7">
        <f t="shared" si="2"/>
        <v>19.009999999999998</v>
      </c>
    </row>
    <row r="187" spans="1:10" x14ac:dyDescent="0.35">
      <c r="A187" s="1">
        <v>3072</v>
      </c>
      <c r="B187" s="1">
        <v>2100</v>
      </c>
      <c r="C187" s="1" t="s">
        <v>136</v>
      </c>
      <c r="D187" s="2">
        <v>45720</v>
      </c>
      <c r="E187" s="1" t="s">
        <v>30</v>
      </c>
      <c r="F187" s="1" t="s">
        <v>201</v>
      </c>
      <c r="G187">
        <v>20</v>
      </c>
      <c r="H187">
        <v>12.62</v>
      </c>
      <c r="I187">
        <v>7.41</v>
      </c>
      <c r="J187" s="7">
        <f t="shared" si="2"/>
        <v>5.2099999999999991</v>
      </c>
    </row>
    <row r="188" spans="1:10" x14ac:dyDescent="0.35">
      <c r="A188" s="1">
        <v>3072</v>
      </c>
      <c r="B188" s="1">
        <v>2100</v>
      </c>
      <c r="C188" s="1" t="s">
        <v>136</v>
      </c>
      <c r="D188" s="2">
        <v>45720</v>
      </c>
      <c r="E188" s="1" t="s">
        <v>47</v>
      </c>
      <c r="F188" s="1" t="s">
        <v>140</v>
      </c>
      <c r="G188">
        <v>10</v>
      </c>
      <c r="H188">
        <v>15.42</v>
      </c>
      <c r="I188">
        <v>9.51</v>
      </c>
      <c r="J188" s="7">
        <f t="shared" si="2"/>
        <v>5.91</v>
      </c>
    </row>
    <row r="189" spans="1:10" x14ac:dyDescent="0.35">
      <c r="A189" s="1">
        <v>3072</v>
      </c>
      <c r="B189" s="1">
        <v>2100</v>
      </c>
      <c r="C189" s="1" t="s">
        <v>136</v>
      </c>
      <c r="D189" s="2">
        <v>45720</v>
      </c>
      <c r="E189" s="1" t="s">
        <v>31</v>
      </c>
      <c r="F189" s="1" t="s">
        <v>195</v>
      </c>
      <c r="G189">
        <v>40</v>
      </c>
      <c r="H189">
        <v>78.02</v>
      </c>
      <c r="I189">
        <v>45.209999999999994</v>
      </c>
      <c r="J189" s="7">
        <f t="shared" si="2"/>
        <v>32.81</v>
      </c>
    </row>
    <row r="190" spans="1:10" x14ac:dyDescent="0.35">
      <c r="A190" s="1">
        <v>3072</v>
      </c>
      <c r="B190" s="1">
        <v>2100</v>
      </c>
      <c r="C190" s="1" t="s">
        <v>136</v>
      </c>
      <c r="D190" s="2">
        <v>45720</v>
      </c>
      <c r="E190" s="1" t="s">
        <v>7</v>
      </c>
      <c r="F190" s="1" t="s">
        <v>161</v>
      </c>
      <c r="G190">
        <v>50</v>
      </c>
      <c r="H190">
        <v>50.02</v>
      </c>
      <c r="I190">
        <v>31.01</v>
      </c>
      <c r="J190" s="7">
        <f t="shared" si="2"/>
        <v>19.010000000000002</v>
      </c>
    </row>
    <row r="191" spans="1:10" x14ac:dyDescent="0.35">
      <c r="A191" s="1">
        <v>3072</v>
      </c>
      <c r="B191" s="1">
        <v>2100</v>
      </c>
      <c r="C191" s="1" t="s">
        <v>136</v>
      </c>
      <c r="D191" s="2">
        <v>45720</v>
      </c>
      <c r="E191" s="1" t="s">
        <v>73</v>
      </c>
      <c r="F191" s="1" t="s">
        <v>208</v>
      </c>
      <c r="G191">
        <v>35</v>
      </c>
      <c r="H191">
        <v>26.97</v>
      </c>
      <c r="I191">
        <v>17.860000000000003</v>
      </c>
      <c r="J191" s="7">
        <f t="shared" si="2"/>
        <v>9.1099999999999959</v>
      </c>
    </row>
    <row r="192" spans="1:10" x14ac:dyDescent="0.35">
      <c r="A192" s="1">
        <v>3072</v>
      </c>
      <c r="B192" s="1">
        <v>2100</v>
      </c>
      <c r="C192" s="1" t="s">
        <v>136</v>
      </c>
      <c r="D192" s="2">
        <v>45720</v>
      </c>
      <c r="E192" s="1" t="s">
        <v>28</v>
      </c>
      <c r="F192" s="1" t="s">
        <v>205</v>
      </c>
      <c r="G192">
        <v>5</v>
      </c>
      <c r="H192">
        <v>4.8199999999999994</v>
      </c>
      <c r="I192">
        <v>3.1599999999999997</v>
      </c>
      <c r="J192" s="7">
        <f t="shared" si="2"/>
        <v>1.6599999999999997</v>
      </c>
    </row>
    <row r="193" spans="1:10" x14ac:dyDescent="0.35">
      <c r="A193" s="1">
        <v>3072</v>
      </c>
      <c r="B193" s="1">
        <v>2100</v>
      </c>
      <c r="C193" s="1" t="s">
        <v>136</v>
      </c>
      <c r="D193" s="2">
        <v>45720</v>
      </c>
      <c r="E193" s="1" t="s">
        <v>59</v>
      </c>
      <c r="F193" s="1" t="s">
        <v>184</v>
      </c>
      <c r="G193">
        <v>40</v>
      </c>
      <c r="H193">
        <v>26.02</v>
      </c>
      <c r="I193">
        <v>16.810000000000002</v>
      </c>
      <c r="J193" s="7">
        <f t="shared" si="2"/>
        <v>9.2099999999999973</v>
      </c>
    </row>
    <row r="194" spans="1:10" x14ac:dyDescent="0.35">
      <c r="A194" s="1">
        <v>3072</v>
      </c>
      <c r="B194" s="1">
        <v>2100</v>
      </c>
      <c r="C194" s="1" t="s">
        <v>136</v>
      </c>
      <c r="D194" s="2">
        <v>45720</v>
      </c>
      <c r="E194" s="1" t="s">
        <v>9</v>
      </c>
      <c r="F194" s="1" t="s">
        <v>174</v>
      </c>
      <c r="G194">
        <v>5</v>
      </c>
      <c r="H194">
        <v>12.52</v>
      </c>
      <c r="I194">
        <v>7.8100000000000005</v>
      </c>
      <c r="J194" s="7">
        <f t="shared" si="2"/>
        <v>4.7099999999999991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Gross_Margin_Chart_Analysis</vt:lpstr>
      <vt:lpstr>Raw_Sales_Data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Vernon J. Richardson</dc:creator>
  <cp:lastModifiedBy>Teja Ekkurthi</cp:lastModifiedBy>
  <dcterms:created xsi:type="dcterms:W3CDTF">2018-10-31T20:47:10Z</dcterms:created>
  <dcterms:modified xsi:type="dcterms:W3CDTF">2026-07-11T12:40:14Z</dcterms:modified>
</cp:coreProperties>
</file>